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yib\Desktop\VOL\"/>
    </mc:Choice>
  </mc:AlternateContent>
  <xr:revisionPtr revIDLastSave="0" documentId="13_ncr:1_{47FC72A4-518D-4DA9-A4AD-D0817244CD3E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main" sheetId="2" r:id="rId1"/>
    <sheet name="News" sheetId="3" r:id="rId2"/>
  </sheets>
  <functionGroups builtInGroupCount="19"/>
  <definedNames>
    <definedName name="_xleta.MAX" hidden="1" xlm="1">#NAME?</definedName>
    <definedName name="CIQWBGuid" hidden="1">"c69d5875-3acd-4185-9538-df3a30598c0b"</definedName>
    <definedName name="CIQWBInfo" hidden="1">"{ ""CIQVersion"":""9.47.1108.4092""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"02/24/2022 22:51:09"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3" i="2" l="1"/>
  <c r="D43" i="2"/>
  <c r="O2" i="3"/>
  <c r="AB2" i="3"/>
  <c r="AG2" i="3"/>
  <c r="AH2" i="3"/>
  <c r="AI2" i="3"/>
  <c r="AL2" i="3"/>
  <c r="B3" i="3"/>
  <c r="AO3" i="3"/>
  <c r="B4" i="3"/>
  <c r="J3" i="3" l="1"/>
  <c r="K3" i="3" s="1"/>
  <c r="L3" i="3" s="1"/>
  <c r="M3" i="3" s="1"/>
  <c r="N3" i="3" s="1"/>
  <c r="O3" i="3" s="1"/>
  <c r="F3" i="3"/>
  <c r="G3" i="3" s="1"/>
  <c r="P3" i="3" s="1"/>
  <c r="Q3" i="3" s="1"/>
  <c r="R3" i="3" s="1"/>
  <c r="F4" i="3"/>
  <c r="J4" i="3"/>
  <c r="K4" i="3" s="1"/>
  <c r="L4" i="3" s="1"/>
  <c r="AO4" i="3"/>
  <c r="B5" i="3"/>
  <c r="H3" i="3" l="1"/>
  <c r="I3" i="3"/>
  <c r="I4" i="3" s="1"/>
  <c r="S3" i="3"/>
  <c r="T3" i="3" s="1"/>
  <c r="U3" i="3" s="1"/>
  <c r="H4" i="3"/>
  <c r="G4" i="3"/>
  <c r="P4" i="3" s="1"/>
  <c r="Q4" i="3" s="1"/>
  <c r="R4" i="3" s="1"/>
  <c r="M4" i="3"/>
  <c r="N4" i="3" s="1"/>
  <c r="O4" i="3" s="1"/>
  <c r="AS4" i="3"/>
  <c r="X3" i="3"/>
  <c r="Y3" i="3" s="1"/>
  <c r="F5" i="3"/>
  <c r="G5" i="3" s="1"/>
  <c r="P5" i="3" s="1"/>
  <c r="Q5" i="3" s="1"/>
  <c r="J5" i="3"/>
  <c r="K5" i="3" s="1"/>
  <c r="L5" i="3" s="1"/>
  <c r="AO5" i="3"/>
  <c r="B6" i="3"/>
  <c r="H5" i="3" l="1"/>
  <c r="I5" i="3"/>
  <c r="S4" i="3"/>
  <c r="T4" i="3" s="1"/>
  <c r="U4" i="3" s="1"/>
  <c r="R5" i="3"/>
  <c r="S5" i="3"/>
  <c r="V3" i="3"/>
  <c r="W3" i="3" s="1"/>
  <c r="AA3" i="3" s="1"/>
  <c r="AB3" i="3" s="1"/>
  <c r="M5" i="3"/>
  <c r="N5" i="3" s="1"/>
  <c r="O5" i="3" s="1"/>
  <c r="AS5" i="3"/>
  <c r="X4" i="3"/>
  <c r="Y4" i="3" s="1"/>
  <c r="F6" i="3"/>
  <c r="G6" i="3" s="1"/>
  <c r="P6" i="3" s="1"/>
  <c r="Q6" i="3" s="1"/>
  <c r="J6" i="3"/>
  <c r="K6" i="3" s="1"/>
  <c r="L6" i="3" s="1"/>
  <c r="AO6" i="3"/>
  <c r="A7" i="3"/>
  <c r="B7" i="3" s="1"/>
  <c r="I6" i="3" l="1"/>
  <c r="H6" i="3"/>
  <c r="AS6" i="3"/>
  <c r="V4" i="3"/>
  <c r="W4" i="3" s="1"/>
  <c r="R6" i="3"/>
  <c r="S6" i="3"/>
  <c r="M6" i="3"/>
  <c r="N6" i="3" s="1"/>
  <c r="O6" i="3" s="1"/>
  <c r="AF3" i="3"/>
  <c r="AG3" i="3" s="1"/>
  <c r="AD3" i="3"/>
  <c r="AH3" i="3" s="1"/>
  <c r="AE3" i="3"/>
  <c r="AI3" i="3" s="1"/>
  <c r="AK3" i="3"/>
  <c r="AL3" i="3" s="1"/>
  <c r="X5" i="3"/>
  <c r="Y5" i="3" s="1"/>
  <c r="T5" i="3"/>
  <c r="U5" i="3" s="1"/>
  <c r="F7" i="3"/>
  <c r="H7" i="3" s="1"/>
  <c r="J7" i="3"/>
  <c r="K7" i="3" s="1"/>
  <c r="L7" i="3" s="1"/>
  <c r="AO7" i="3"/>
  <c r="AS7" i="3" s="1"/>
  <c r="A8" i="3"/>
  <c r="B8" i="3" s="1"/>
  <c r="AK4" i="3" l="1"/>
  <c r="AL4" i="3" s="1"/>
  <c r="AE4" i="3"/>
  <c r="AI4" i="3" s="1"/>
  <c r="AD4" i="3"/>
  <c r="AH4" i="3" s="1"/>
  <c r="AF4" i="3"/>
  <c r="AG4" i="3" s="1"/>
  <c r="AA4" i="3"/>
  <c r="AB4" i="3" s="1"/>
  <c r="M7" i="3"/>
  <c r="N7" i="3" s="1"/>
  <c r="O7" i="3" s="1"/>
  <c r="G7" i="3"/>
  <c r="P7" i="3" s="1"/>
  <c r="Q7" i="3" s="1"/>
  <c r="V5" i="3"/>
  <c r="W5" i="3" s="1"/>
  <c r="AA5" i="3" s="1"/>
  <c r="T6" i="3"/>
  <c r="U6" i="3" s="1"/>
  <c r="I7" i="3"/>
  <c r="X6" i="3"/>
  <c r="Y6" i="3" s="1"/>
  <c r="F8" i="3"/>
  <c r="G8" i="3" s="1"/>
  <c r="P8" i="3" s="1"/>
  <c r="Q8" i="3" s="1"/>
  <c r="J8" i="3"/>
  <c r="K8" i="3" s="1"/>
  <c r="L8" i="3" s="1"/>
  <c r="AO8" i="3"/>
  <c r="A9" i="3"/>
  <c r="B9" i="3"/>
  <c r="AB5" i="3" l="1"/>
  <c r="AS8" i="3"/>
  <c r="M8" i="3"/>
  <c r="N8" i="3" s="1"/>
  <c r="O8" i="3" s="1"/>
  <c r="S8" i="3"/>
  <c r="R8" i="3"/>
  <c r="V6" i="3"/>
  <c r="W6" i="3" s="1"/>
  <c r="AA6" i="3" s="1"/>
  <c r="S7" i="3"/>
  <c r="R7" i="3"/>
  <c r="I8" i="3"/>
  <c r="AE5" i="3"/>
  <c r="AI5" i="3" s="1"/>
  <c r="AF5" i="3"/>
  <c r="AG5" i="3" s="1"/>
  <c r="AK5" i="3"/>
  <c r="AL5" i="3" s="1"/>
  <c r="AD5" i="3"/>
  <c r="AH5" i="3" s="1"/>
  <c r="H8" i="3"/>
  <c r="F9" i="3"/>
  <c r="G9" i="3" s="1"/>
  <c r="P9" i="3" s="1"/>
  <c r="Q9" i="3" s="1"/>
  <c r="J9" i="3"/>
  <c r="K9" i="3" s="1"/>
  <c r="L9" i="3" s="1"/>
  <c r="AO9" i="3"/>
  <c r="AS9" i="3" s="1"/>
  <c r="A10" i="3"/>
  <c r="B10" i="3"/>
  <c r="AB6" i="3" l="1"/>
  <c r="R9" i="3"/>
  <c r="S9" i="3"/>
  <c r="M9" i="3"/>
  <c r="N9" i="3" s="1"/>
  <c r="O9" i="3" s="1"/>
  <c r="T7" i="3"/>
  <c r="U7" i="3" s="1"/>
  <c r="X8" i="3"/>
  <c r="Y8" i="3" s="1"/>
  <c r="I9" i="3"/>
  <c r="T8" i="3"/>
  <c r="U8" i="3" s="1"/>
  <c r="H9" i="3"/>
  <c r="AK6" i="3"/>
  <c r="AL6" i="3" s="1"/>
  <c r="AE6" i="3"/>
  <c r="AI6" i="3" s="1"/>
  <c r="AF6" i="3"/>
  <c r="AG6" i="3" s="1"/>
  <c r="AD6" i="3"/>
  <c r="AH6" i="3" s="1"/>
  <c r="X7" i="3"/>
  <c r="Y7" i="3" s="1"/>
  <c r="F10" i="3"/>
  <c r="G10" i="3" s="1"/>
  <c r="P10" i="3" s="1"/>
  <c r="Q10" i="3" s="1"/>
  <c r="J10" i="3"/>
  <c r="K10" i="3" s="1"/>
  <c r="L10" i="3" s="1"/>
  <c r="AO10" i="3"/>
  <c r="A11" i="3"/>
  <c r="B11" i="3" s="1"/>
  <c r="I10" i="3" l="1"/>
  <c r="S10" i="3"/>
  <c r="R10" i="3"/>
  <c r="V8" i="3"/>
  <c r="W8" i="3" s="1"/>
  <c r="V7" i="3"/>
  <c r="W7" i="3" s="1"/>
  <c r="M10" i="3"/>
  <c r="N10" i="3" s="1"/>
  <c r="O10" i="3" s="1"/>
  <c r="H10" i="3"/>
  <c r="X9" i="3"/>
  <c r="Y9" i="3" s="1"/>
  <c r="AS10" i="3"/>
  <c r="T9" i="3"/>
  <c r="U9" i="3" s="1"/>
  <c r="F11" i="3"/>
  <c r="H11" i="3" s="1"/>
  <c r="J11" i="3"/>
  <c r="K11" i="3" s="1"/>
  <c r="L11" i="3" s="1"/>
  <c r="AO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B28" i="3" s="1"/>
  <c r="G11" i="3" l="1"/>
  <c r="P11" i="3" s="1"/>
  <c r="Q11" i="3" s="1"/>
  <c r="R11" i="3" s="1"/>
  <c r="I11" i="3"/>
  <c r="V9" i="3"/>
  <c r="W9" i="3" s="1"/>
  <c r="M11" i="3"/>
  <c r="N11" i="3" s="1"/>
  <c r="O11" i="3" s="1"/>
  <c r="AK8" i="3"/>
  <c r="AD8" i="3"/>
  <c r="AF8" i="3"/>
  <c r="AE8" i="3"/>
  <c r="AA8" i="3"/>
  <c r="AE7" i="3"/>
  <c r="AI7" i="3" s="1"/>
  <c r="AK7" i="3"/>
  <c r="AL7" i="3" s="1"/>
  <c r="AF7" i="3"/>
  <c r="AG7" i="3" s="1"/>
  <c r="AD7" i="3"/>
  <c r="AH7" i="3" s="1"/>
  <c r="X10" i="3"/>
  <c r="Y10" i="3" s="1"/>
  <c r="T10" i="3"/>
  <c r="U10" i="3" s="1"/>
  <c r="AA7" i="3"/>
  <c r="AB7" i="3" s="1"/>
  <c r="F28" i="3"/>
  <c r="G28" i="3" s="1"/>
  <c r="P28" i="3" s="1"/>
  <c r="Q28" i="3" s="1"/>
  <c r="S28" i="3" s="1"/>
  <c r="B27" i="3"/>
  <c r="AL8" i="3" l="1"/>
  <c r="AG8" i="3"/>
  <c r="AB8" i="3"/>
  <c r="S11" i="3"/>
  <c r="T11" i="3" s="1"/>
  <c r="U11" i="3" s="1"/>
  <c r="AH8" i="3"/>
  <c r="T28" i="3"/>
  <c r="U28" i="3" s="1"/>
  <c r="AK9" i="3"/>
  <c r="AF9" i="3"/>
  <c r="AD9" i="3"/>
  <c r="AE9" i="3"/>
  <c r="AA9" i="3"/>
  <c r="X11" i="3"/>
  <c r="Y11" i="3" s="1"/>
  <c r="V10" i="3"/>
  <c r="W10" i="3" s="1"/>
  <c r="AA10" i="3" s="1"/>
  <c r="AI8" i="3"/>
  <c r="F27" i="3"/>
  <c r="G27" i="3" s="1"/>
  <c r="P27" i="3" s="1"/>
  <c r="Q27" i="3" s="1"/>
  <c r="S27" i="3" s="1"/>
  <c r="B26" i="3"/>
  <c r="AL9" i="3" l="1"/>
  <c r="AH9" i="3"/>
  <c r="AI9" i="3"/>
  <c r="AB9" i="3"/>
  <c r="AB10" i="3" s="1"/>
  <c r="AG9" i="3"/>
  <c r="T27" i="3"/>
  <c r="U27" i="3" s="1"/>
  <c r="V11" i="3"/>
  <c r="W11" i="3" s="1"/>
  <c r="AD10" i="3"/>
  <c r="AK10" i="3"/>
  <c r="AE10" i="3"/>
  <c r="AF10" i="3"/>
  <c r="V28" i="3"/>
  <c r="W28" i="3" s="1"/>
  <c r="AE28" i="3" s="1"/>
  <c r="F26" i="3"/>
  <c r="G26" i="3" s="1"/>
  <c r="P26" i="3" s="1"/>
  <c r="Q26" i="3" s="1"/>
  <c r="S26" i="3" s="1"/>
  <c r="B25" i="3"/>
  <c r="AL10" i="3" l="1"/>
  <c r="AH10" i="3"/>
  <c r="AI10" i="3"/>
  <c r="AG10" i="3"/>
  <c r="T26" i="3"/>
  <c r="U26" i="3" s="1"/>
  <c r="V26" i="3" s="1"/>
  <c r="W26" i="3" s="1"/>
  <c r="AE26" i="3" s="1"/>
  <c r="AE11" i="3"/>
  <c r="AF11" i="3"/>
  <c r="AK11" i="3"/>
  <c r="AD11" i="3"/>
  <c r="AA11" i="3"/>
  <c r="AB11" i="3" s="1"/>
  <c r="V27" i="3"/>
  <c r="W27" i="3" s="1"/>
  <c r="AE27" i="3" s="1"/>
  <c r="F25" i="3"/>
  <c r="G25" i="3" s="1"/>
  <c r="P25" i="3" s="1"/>
  <c r="Q25" i="3" s="1"/>
  <c r="S25" i="3" s="1"/>
  <c r="B24" i="3"/>
  <c r="AL11" i="3" l="1"/>
  <c r="AH11" i="3"/>
  <c r="AI11" i="3"/>
  <c r="AG11" i="3"/>
  <c r="T25" i="3"/>
  <c r="U25" i="3" s="1"/>
  <c r="F24" i="3"/>
  <c r="G24" i="3" s="1"/>
  <c r="P24" i="3" s="1"/>
  <c r="Q24" i="3" s="1"/>
  <c r="S24" i="3" s="1"/>
  <c r="B23" i="3"/>
  <c r="T24" i="3" l="1"/>
  <c r="U24" i="3" s="1"/>
  <c r="V25" i="3"/>
  <c r="W25" i="3" s="1"/>
  <c r="AE25" i="3" s="1"/>
  <c r="F23" i="3"/>
  <c r="G23" i="3" s="1"/>
  <c r="P23" i="3" s="1"/>
  <c r="Q23" i="3" s="1"/>
  <c r="S23" i="3" s="1"/>
  <c r="B22" i="3"/>
  <c r="T23" i="3" l="1"/>
  <c r="U23" i="3" s="1"/>
  <c r="V24" i="3"/>
  <c r="W24" i="3" s="1"/>
  <c r="AE24" i="3" s="1"/>
  <c r="F22" i="3"/>
  <c r="G22" i="3" s="1"/>
  <c r="P22" i="3" s="1"/>
  <c r="Q22" i="3" s="1"/>
  <c r="S22" i="3" s="1"/>
  <c r="B21" i="3"/>
  <c r="V23" i="3" l="1"/>
  <c r="W23" i="3" s="1"/>
  <c r="AE23" i="3" s="1"/>
  <c r="T22" i="3"/>
  <c r="U22" i="3" s="1"/>
  <c r="F21" i="3"/>
  <c r="G21" i="3" s="1"/>
  <c r="P21" i="3" s="1"/>
  <c r="Q21" i="3" s="1"/>
  <c r="S21" i="3" s="1"/>
  <c r="B20" i="3"/>
  <c r="T21" i="3" l="1"/>
  <c r="U21" i="3" s="1"/>
  <c r="V22" i="3"/>
  <c r="W22" i="3" s="1"/>
  <c r="AE22" i="3" s="1"/>
  <c r="F20" i="3"/>
  <c r="G20" i="3" s="1"/>
  <c r="P20" i="3" s="1"/>
  <c r="Q20" i="3" s="1"/>
  <c r="S20" i="3" s="1"/>
  <c r="B19" i="3"/>
  <c r="T20" i="3" l="1"/>
  <c r="U20" i="3" s="1"/>
  <c r="V21" i="3"/>
  <c r="W21" i="3" s="1"/>
  <c r="AE21" i="3" s="1"/>
  <c r="F19" i="3"/>
  <c r="G19" i="3" s="1"/>
  <c r="P19" i="3" s="1"/>
  <c r="Q19" i="3" s="1"/>
  <c r="S19" i="3" s="1"/>
  <c r="B18" i="3"/>
  <c r="T19" i="3" l="1"/>
  <c r="U19" i="3" s="1"/>
  <c r="V20" i="3"/>
  <c r="W20" i="3" s="1"/>
  <c r="AE20" i="3" s="1"/>
  <c r="F18" i="3"/>
  <c r="G18" i="3" s="1"/>
  <c r="P18" i="3" s="1"/>
  <c r="Q18" i="3" s="1"/>
  <c r="S18" i="3" s="1"/>
  <c r="B17" i="3"/>
  <c r="V19" i="3" l="1"/>
  <c r="W19" i="3" s="1"/>
  <c r="T18" i="3"/>
  <c r="U18" i="3" s="1"/>
  <c r="F17" i="3"/>
  <c r="G17" i="3" s="1"/>
  <c r="P17" i="3" s="1"/>
  <c r="Q17" i="3" s="1"/>
  <c r="AD28" i="3"/>
  <c r="AD27" i="3"/>
  <c r="AD26" i="3"/>
  <c r="AD25" i="3"/>
  <c r="AD24" i="3"/>
  <c r="AD23" i="3"/>
  <c r="AD22" i="3"/>
  <c r="AD21" i="3"/>
  <c r="AD20" i="3"/>
  <c r="AS11" i="3"/>
  <c r="B12" i="3"/>
  <c r="S17" i="3" l="1"/>
  <c r="R17" i="3"/>
  <c r="AE19" i="3"/>
  <c r="AD19" i="3"/>
  <c r="V18" i="3"/>
  <c r="W18" i="3" s="1"/>
  <c r="F12" i="3"/>
  <c r="G12" i="3" s="1"/>
  <c r="P12" i="3" s="1"/>
  <c r="Q12" i="3" s="1"/>
  <c r="J12" i="3"/>
  <c r="K12" i="3" s="1"/>
  <c r="L12" i="3" s="1"/>
  <c r="AO12" i="3"/>
  <c r="AP12" i="3" s="1"/>
  <c r="B13" i="3"/>
  <c r="AS12" i="3" l="1"/>
  <c r="M12" i="3"/>
  <c r="N12" i="3" s="1"/>
  <c r="O12" i="3" s="1"/>
  <c r="S12" i="3"/>
  <c r="R12" i="3"/>
  <c r="AE18" i="3"/>
  <c r="AD18" i="3"/>
  <c r="I12" i="3"/>
  <c r="H12" i="3"/>
  <c r="X17" i="3"/>
  <c r="Y17" i="3" s="1"/>
  <c r="T17" i="3"/>
  <c r="U17" i="3" s="1"/>
  <c r="F13" i="3"/>
  <c r="J13" i="3"/>
  <c r="K13" i="3" s="1"/>
  <c r="L13" i="3" s="1"/>
  <c r="AO13" i="3"/>
  <c r="AS13" i="3" s="1"/>
  <c r="B14" i="3"/>
  <c r="AQ13" i="3" l="1"/>
  <c r="I13" i="3"/>
  <c r="AR13" i="3"/>
  <c r="H13" i="3"/>
  <c r="G13" i="3"/>
  <c r="P13" i="3" s="1"/>
  <c r="Q13" i="3" s="1"/>
  <c r="R13" i="3" s="1"/>
  <c r="M13" i="3"/>
  <c r="N13" i="3" s="1"/>
  <c r="O13" i="3" s="1"/>
  <c r="V17" i="3"/>
  <c r="W17" i="3" s="1"/>
  <c r="T12" i="3"/>
  <c r="U12" i="3" s="1"/>
  <c r="X12" i="3"/>
  <c r="Y12" i="3" s="1"/>
  <c r="F14" i="3"/>
  <c r="G14" i="3" s="1"/>
  <c r="P14" i="3" s="1"/>
  <c r="Q14" i="3" s="1"/>
  <c r="J14" i="3"/>
  <c r="K14" i="3" s="1"/>
  <c r="L14" i="3" s="1"/>
  <c r="M14" i="3" s="1"/>
  <c r="N14" i="3" s="1"/>
  <c r="AO14" i="3"/>
  <c r="AS14" i="3" s="1"/>
  <c r="B15" i="3"/>
  <c r="S13" i="3" l="1"/>
  <c r="T13" i="3" s="1"/>
  <c r="U13" i="3" s="1"/>
  <c r="I14" i="3"/>
  <c r="AP13" i="3"/>
  <c r="H14" i="3"/>
  <c r="AP14" i="3"/>
  <c r="R14" i="3"/>
  <c r="S14" i="3"/>
  <c r="O14" i="3"/>
  <c r="AD17" i="3"/>
  <c r="AE17" i="3"/>
  <c r="X13" i="3"/>
  <c r="Y13" i="3" s="1"/>
  <c r="V12" i="3"/>
  <c r="W12" i="3" s="1"/>
  <c r="AA12" i="3" s="1"/>
  <c r="AB12" i="3" s="1"/>
  <c r="F15" i="3"/>
  <c r="G15" i="3" s="1"/>
  <c r="P15" i="3" s="1"/>
  <c r="Q15" i="3" s="1"/>
  <c r="J15" i="3"/>
  <c r="K15" i="3" s="1"/>
  <c r="L15" i="3" s="1"/>
  <c r="AO15" i="3"/>
  <c r="AR15" i="3" s="1"/>
  <c r="B16" i="3"/>
  <c r="AQ15" i="3" l="1"/>
  <c r="AP15" i="3" s="1"/>
  <c r="AS15" i="3"/>
  <c r="M15" i="3"/>
  <c r="N15" i="3" s="1"/>
  <c r="O15" i="3" s="1"/>
  <c r="V13" i="3"/>
  <c r="W13" i="3" s="1"/>
  <c r="R15" i="3"/>
  <c r="S15" i="3"/>
  <c r="H15" i="3"/>
  <c r="AF12" i="3"/>
  <c r="AG12" i="3" s="1"/>
  <c r="AK12" i="3"/>
  <c r="AL12" i="3" s="1"/>
  <c r="AD12" i="3"/>
  <c r="AH12" i="3" s="1"/>
  <c r="AE12" i="3"/>
  <c r="AI12" i="3" s="1"/>
  <c r="I15" i="3"/>
  <c r="T14" i="3"/>
  <c r="U14" i="3" s="1"/>
  <c r="X14" i="3"/>
  <c r="Y14" i="3" s="1"/>
  <c r="F16" i="3"/>
  <c r="G16" i="3" s="1"/>
  <c r="P16" i="3" s="1"/>
  <c r="Q16" i="3" s="1"/>
  <c r="J16" i="3"/>
  <c r="K16" i="3" s="1"/>
  <c r="L16" i="3" s="1"/>
  <c r="M16" i="3" s="1"/>
  <c r="AO16" i="3"/>
  <c r="AP16" i="3" s="1"/>
  <c r="H17" i="3"/>
  <c r="J17" i="3"/>
  <c r="K17" i="3" s="1"/>
  <c r="L17" i="3" s="1"/>
  <c r="M17" i="3" s="1"/>
  <c r="AA17" i="3"/>
  <c r="AF17" i="3"/>
  <c r="AO17" i="3"/>
  <c r="AQ17" i="3" s="1"/>
  <c r="H18" i="3"/>
  <c r="J18" i="3"/>
  <c r="K18" i="3" s="1"/>
  <c r="L18" i="3" s="1"/>
  <c r="R18" i="3"/>
  <c r="X18" i="3" s="1"/>
  <c r="Y18" i="3" s="1"/>
  <c r="AA18" i="3" s="1"/>
  <c r="AO18" i="3"/>
  <c r="AS18" i="3" s="1"/>
  <c r="H19" i="3"/>
  <c r="J19" i="3"/>
  <c r="K19" i="3" s="1"/>
  <c r="L19" i="3" s="1"/>
  <c r="R19" i="3"/>
  <c r="X19" i="3" s="1"/>
  <c r="AO19" i="3"/>
  <c r="AR19" i="3" s="1"/>
  <c r="H20" i="3"/>
  <c r="J20" i="3"/>
  <c r="K20" i="3" s="1"/>
  <c r="L20" i="3" s="1"/>
  <c r="M20" i="3" s="1"/>
  <c r="R20" i="3"/>
  <c r="X20" i="3" s="1"/>
  <c r="H21" i="3"/>
  <c r="J21" i="3"/>
  <c r="K21" i="3" s="1"/>
  <c r="L21" i="3" s="1"/>
  <c r="R21" i="3"/>
  <c r="X21" i="3" s="1"/>
  <c r="H22" i="3"/>
  <c r="J22" i="3"/>
  <c r="K22" i="3" s="1"/>
  <c r="L22" i="3" s="1"/>
  <c r="R22" i="3"/>
  <c r="X22" i="3" s="1"/>
  <c r="H23" i="3"/>
  <c r="J23" i="3"/>
  <c r="K23" i="3" s="1"/>
  <c r="L23" i="3" s="1"/>
  <c r="M23" i="3" s="1"/>
  <c r="R23" i="3"/>
  <c r="X23" i="3" s="1"/>
  <c r="R28" i="3"/>
  <c r="X28" i="3" s="1"/>
  <c r="R27" i="3"/>
  <c r="X27" i="3" s="1"/>
  <c r="R26" i="3"/>
  <c r="X26" i="3" s="1"/>
  <c r="R25" i="3"/>
  <c r="X25" i="3" s="1"/>
  <c r="R24" i="3"/>
  <c r="X24" i="3" s="1"/>
  <c r="H24" i="3"/>
  <c r="J24" i="3"/>
  <c r="K24" i="3" s="1"/>
  <c r="L24" i="3" s="1"/>
  <c r="H25" i="3"/>
  <c r="J25" i="3"/>
  <c r="K25" i="3" s="1"/>
  <c r="L25" i="3" s="1"/>
  <c r="H26" i="3"/>
  <c r="J26" i="3"/>
  <c r="K26" i="3" s="1"/>
  <c r="L26" i="3" s="1"/>
  <c r="H27" i="3"/>
  <c r="J27" i="3"/>
  <c r="K27" i="3" s="1"/>
  <c r="L27" i="3" s="1"/>
  <c r="H28" i="3"/>
  <c r="J28" i="3"/>
  <c r="K28" i="3" s="1"/>
  <c r="L28" i="3" s="1"/>
  <c r="B33" i="3"/>
  <c r="B3" i="2"/>
  <c r="C3" i="2"/>
  <c r="AS17" i="3" l="1"/>
  <c r="AR17" i="3"/>
  <c r="AP17" i="3" s="1"/>
  <c r="Y21" i="3"/>
  <c r="AK21" i="3" s="1"/>
  <c r="Y24" i="3"/>
  <c r="AK24" i="3" s="1"/>
  <c r="Y22" i="3"/>
  <c r="AK22" i="3" s="1"/>
  <c r="M25" i="3"/>
  <c r="N25" i="3" s="1"/>
  <c r="M28" i="3"/>
  <c r="N28" i="3" s="1"/>
  <c r="M24" i="3"/>
  <c r="N24" i="3" s="1"/>
  <c r="M27" i="3"/>
  <c r="N27" i="3" s="1"/>
  <c r="Y25" i="3"/>
  <c r="AA25" i="3" s="1"/>
  <c r="Y27" i="3"/>
  <c r="AS19" i="3"/>
  <c r="AQ19" i="3"/>
  <c r="AP19" i="3" s="1"/>
  <c r="AP18" i="3"/>
  <c r="N17" i="3"/>
  <c r="Y26" i="3"/>
  <c r="Y28" i="3"/>
  <c r="Y19" i="3"/>
  <c r="AA19" i="3" s="1"/>
  <c r="I16" i="3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M26" i="3"/>
  <c r="N26" i="3" s="1"/>
  <c r="H16" i="3"/>
  <c r="M18" i="3"/>
  <c r="N18" i="3" s="1"/>
  <c r="M19" i="3"/>
  <c r="N19" i="3" s="1"/>
  <c r="M22" i="3"/>
  <c r="N22" i="3" s="1"/>
  <c r="M21" i="3"/>
  <c r="N21" i="3" s="1"/>
  <c r="S16" i="3"/>
  <c r="R16" i="3"/>
  <c r="AF13" i="3"/>
  <c r="AG13" i="3" s="1"/>
  <c r="AK13" i="3"/>
  <c r="AL13" i="3" s="1"/>
  <c r="AD13" i="3"/>
  <c r="AH13" i="3" s="1"/>
  <c r="AE13" i="3"/>
  <c r="AI13" i="3" s="1"/>
  <c r="AA13" i="3"/>
  <c r="AB13" i="3" s="1"/>
  <c r="Y23" i="3"/>
  <c r="N20" i="3"/>
  <c r="T15" i="3"/>
  <c r="U15" i="3" s="1"/>
  <c r="V14" i="3"/>
  <c r="W14" i="3" s="1"/>
  <c r="AK18" i="3"/>
  <c r="X15" i="3"/>
  <c r="Y15" i="3" s="1"/>
  <c r="AF18" i="3"/>
  <c r="N23" i="3"/>
  <c r="Y20" i="3"/>
  <c r="AS16" i="3"/>
  <c r="N16" i="3"/>
  <c r="O16" i="3" s="1"/>
  <c r="E3" i="2"/>
  <c r="C19" i="2"/>
  <c r="C32" i="2"/>
  <c r="C25" i="2"/>
  <c r="C20" i="2"/>
  <c r="C15" i="2"/>
  <c r="C33" i="2"/>
  <c r="C29" i="2"/>
  <c r="C16" i="2"/>
  <c r="C34" i="2"/>
  <c r="C30" i="2"/>
  <c r="C14" i="2"/>
  <c r="C17" i="2"/>
  <c r="C18" i="2"/>
  <c r="C26" i="2"/>
  <c r="C21" i="2"/>
  <c r="C27" i="2"/>
  <c r="C28" i="2"/>
  <c r="C13" i="2"/>
  <c r="C31" i="2"/>
  <c r="C22" i="2"/>
  <c r="AA24" i="3" l="1"/>
  <c r="AF24" i="3"/>
  <c r="AF21" i="3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AA22" i="3"/>
  <c r="AA21" i="3"/>
  <c r="AF22" i="3"/>
  <c r="AF26" i="3"/>
  <c r="AA26" i="3"/>
  <c r="AK26" i="3"/>
  <c r="AF25" i="3"/>
  <c r="AF28" i="3"/>
  <c r="AA28" i="3"/>
  <c r="AK28" i="3"/>
  <c r="AK25" i="3"/>
  <c r="AK19" i="3"/>
  <c r="AF19" i="3"/>
  <c r="AF27" i="3"/>
  <c r="AK27" i="3"/>
  <c r="AA27" i="3"/>
  <c r="AK14" i="3"/>
  <c r="AL14" i="3" s="1"/>
  <c r="AD14" i="3"/>
  <c r="AH14" i="3" s="1"/>
  <c r="AE14" i="3"/>
  <c r="AI14" i="3" s="1"/>
  <c r="AF14" i="3"/>
  <c r="AG14" i="3" s="1"/>
  <c r="AA14" i="3"/>
  <c r="AB14" i="3" s="1"/>
  <c r="V15" i="3"/>
  <c r="W15" i="3" s="1"/>
  <c r="T16" i="3"/>
  <c r="U16" i="3" s="1"/>
  <c r="AA20" i="3"/>
  <c r="AF20" i="3"/>
  <c r="AK20" i="3"/>
  <c r="X16" i="3"/>
  <c r="Y16" i="3" s="1"/>
  <c r="AF23" i="3"/>
  <c r="AK23" i="3"/>
  <c r="AA23" i="3"/>
  <c r="J3" i="2"/>
  <c r="H5" i="2"/>
  <c r="C6" i="2"/>
  <c r="F8" i="2"/>
  <c r="J9" i="2"/>
  <c r="J10" i="2"/>
  <c r="V16" i="3" l="1"/>
  <c r="W16" i="3" s="1"/>
  <c r="AK15" i="3"/>
  <c r="AL15" i="3" s="1"/>
  <c r="AE15" i="3"/>
  <c r="AI15" i="3" s="1"/>
  <c r="AF15" i="3"/>
  <c r="AG15" i="3" s="1"/>
  <c r="AD15" i="3"/>
  <c r="AH15" i="3" s="1"/>
  <c r="AA15" i="3"/>
  <c r="AB15" i="3" s="1"/>
  <c r="D13" i="2"/>
  <c r="AE16" i="3" l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F16" i="3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D16" i="3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K16" i="3"/>
  <c r="AA16" i="3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F13" i="2"/>
  <c r="G13" i="2" s="1"/>
  <c r="AR7" i="3" l="1"/>
  <c r="AR9" i="3"/>
  <c r="AQ7" i="3"/>
  <c r="AQ9" i="3"/>
  <c r="AR11" i="3"/>
  <c r="AR5" i="3"/>
  <c r="AQ11" i="3"/>
  <c r="AQ5" i="3"/>
  <c r="AL16" i="3"/>
  <c r="AK17" i="3"/>
  <c r="AP9" i="3" l="1"/>
  <c r="AP7" i="3"/>
  <c r="L6" i="2"/>
  <c r="AP11" i="3"/>
  <c r="AP5" i="3"/>
  <c r="M6" i="2"/>
  <c r="AL17" i="3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P8" i="3" l="1"/>
  <c r="AP10" i="3"/>
  <c r="J6" i="2"/>
  <c r="AP6" i="3"/>
  <c r="AP23" i="3"/>
  <c r="K6" i="2" s="1"/>
  <c r="AP4" i="3"/>
  <c r="J14" i="2"/>
  <c r="J15" i="2" s="1"/>
  <c r="J16" i="2" s="1"/>
  <c r="J17" i="2" s="1"/>
  <c r="J18" i="2" s="1"/>
  <c r="D14" i="2"/>
  <c r="L18" i="2"/>
  <c r="L31" i="2"/>
  <c r="H13" i="2"/>
  <c r="L19" i="2"/>
  <c r="L20" i="2"/>
  <c r="L14" i="2"/>
  <c r="L33" i="2"/>
  <c r="L21" i="2"/>
  <c r="L28" i="2"/>
  <c r="L30" i="2"/>
  <c r="L34" i="2"/>
  <c r="L32" i="2"/>
  <c r="E13" i="2"/>
  <c r="L26" i="2"/>
  <c r="E14" i="2"/>
  <c r="L13" i="2"/>
  <c r="L25" i="2"/>
  <c r="L15" i="2"/>
  <c r="L27" i="2"/>
  <c r="L29" i="2"/>
  <c r="L16" i="2"/>
  <c r="L17" i="2"/>
  <c r="L22" i="2"/>
  <c r="I13" i="2" l="1"/>
  <c r="W24" i="2"/>
  <c r="W26" i="2" s="1"/>
  <c r="W12" i="2"/>
  <c r="AP22" i="3"/>
  <c r="J19" i="2"/>
  <c r="J20" i="2" s="1"/>
  <c r="J21" i="2" s="1"/>
  <c r="J22" i="2" s="1"/>
  <c r="F14" i="2"/>
  <c r="G14" i="2" s="1"/>
  <c r="H14" i="2"/>
  <c r="W14" i="2" l="1"/>
  <c r="I14" i="2"/>
  <c r="F15" i="2"/>
  <c r="F16" i="2"/>
  <c r="F17" i="2"/>
  <c r="F18" i="2"/>
  <c r="F19" i="2"/>
  <c r="F20" i="2"/>
  <c r="F21" i="2"/>
  <c r="F22" i="2"/>
  <c r="D24" i="2"/>
  <c r="F24" i="2"/>
  <c r="G24" i="2"/>
  <c r="H24" i="2"/>
  <c r="J24" i="2"/>
  <c r="J25" i="2"/>
  <c r="J26" i="2"/>
  <c r="F26" i="2" s="1"/>
  <c r="J27" i="2"/>
  <c r="J28" i="2"/>
  <c r="J29" i="2"/>
  <c r="F29" i="2" s="1"/>
  <c r="J30" i="2"/>
  <c r="F30" i="2" s="1"/>
  <c r="J31" i="2"/>
  <c r="F31" i="2" s="1"/>
  <c r="J32" i="2"/>
  <c r="J33" i="2"/>
  <c r="J34" i="2"/>
  <c r="F34" i="2" s="1"/>
  <c r="F27" i="2"/>
  <c r="D25" i="2"/>
  <c r="D29" i="2"/>
  <c r="D34" i="2"/>
  <c r="D16" i="2"/>
  <c r="D18" i="2"/>
  <c r="D20" i="2"/>
  <c r="D22" i="2"/>
  <c r="D27" i="2"/>
  <c r="D33" i="2"/>
  <c r="D30" i="2"/>
  <c r="D31" i="2"/>
  <c r="D32" i="2"/>
  <c r="D28" i="2"/>
  <c r="D26" i="2"/>
  <c r="D15" i="2"/>
  <c r="D17" i="2"/>
  <c r="D19" i="2"/>
  <c r="D21" i="2"/>
  <c r="H33" i="2"/>
  <c r="H25" i="2"/>
  <c r="E22" i="2"/>
  <c r="E34" i="2"/>
  <c r="H18" i="2"/>
  <c r="H31" i="2"/>
  <c r="E30" i="2"/>
  <c r="H29" i="2"/>
  <c r="H21" i="2"/>
  <c r="E33" i="2"/>
  <c r="E29" i="2"/>
  <c r="H27" i="2"/>
  <c r="H28" i="2"/>
  <c r="H32" i="2"/>
  <c r="E31" i="2"/>
  <c r="E16" i="2"/>
  <c r="E25" i="2"/>
  <c r="H20" i="2"/>
  <c r="H15" i="2"/>
  <c r="E28" i="2"/>
  <c r="E15" i="2"/>
  <c r="H34" i="2"/>
  <c r="H16" i="2"/>
  <c r="E26" i="2"/>
  <c r="H26" i="2"/>
  <c r="E17" i="2"/>
  <c r="E32" i="2"/>
  <c r="E27" i="2"/>
  <c r="H19" i="2"/>
  <c r="H22" i="2"/>
  <c r="H30" i="2"/>
  <c r="E19" i="2"/>
  <c r="H17" i="2"/>
  <c r="E18" i="2"/>
  <c r="E21" i="2"/>
  <c r="E20" i="2"/>
  <c r="F32" i="2" l="1"/>
  <c r="G32" i="2" s="1"/>
  <c r="F33" i="2"/>
  <c r="G33" i="2" s="1"/>
  <c r="F28" i="2"/>
  <c r="G28" i="2" s="1"/>
  <c r="F25" i="2"/>
  <c r="G25" i="2" s="1"/>
  <c r="G30" i="2"/>
  <c r="G26" i="2"/>
  <c r="G17" i="2"/>
  <c r="G31" i="2"/>
  <c r="G29" i="2"/>
  <c r="G27" i="2"/>
  <c r="G21" i="2"/>
  <c r="G22" i="2"/>
  <c r="G20" i="2"/>
  <c r="G18" i="2"/>
  <c r="G16" i="2"/>
  <c r="G34" i="2"/>
  <c r="G19" i="2"/>
  <c r="G15" i="2"/>
  <c r="I29" i="2"/>
  <c r="I21" i="2"/>
  <c r="I34" i="2"/>
  <c r="I18" i="2"/>
  <c r="I31" i="2"/>
  <c r="I26" i="2"/>
  <c r="I15" i="2"/>
  <c r="I28" i="2"/>
  <c r="I20" i="2"/>
  <c r="I25" i="2"/>
  <c r="I32" i="2"/>
  <c r="I19" i="2"/>
  <c r="I17" i="2"/>
  <c r="I33" i="2"/>
  <c r="I30" i="2"/>
  <c r="I27" i="2"/>
  <c r="I22" i="2"/>
  <c r="I16" i="2"/>
  <c r="F6" i="2"/>
  <c r="O4" i="2"/>
  <c r="C39" i="2" l="1"/>
  <c r="C38" i="2"/>
  <c r="D39" i="2"/>
  <c r="D38" i="2"/>
  <c r="D40" i="2"/>
  <c r="C40" i="2"/>
  <c r="C46" i="2" l="1"/>
  <c r="C45" i="2"/>
  <c r="D45" i="2"/>
  <c r="D42" i="2"/>
  <c r="C42" i="2"/>
  <c r="C41" i="2"/>
  <c r="C44" i="2" s="1"/>
  <c r="D41" i="2"/>
  <c r="D44" i="2" s="1"/>
</calcChain>
</file>

<file path=xl/sharedStrings.xml><?xml version="1.0" encoding="utf-8"?>
<sst xmlns="http://schemas.openxmlformats.org/spreadsheetml/2006/main" count="89" uniqueCount="76">
  <si>
    <t>Period</t>
  </si>
  <si>
    <t>Time Left</t>
  </si>
  <si>
    <t>Month Time</t>
  </si>
  <si>
    <t>News Timer</t>
  </si>
  <si>
    <t>Rate</t>
  </si>
  <si>
    <t>Days</t>
  </si>
  <si>
    <t>Dividend</t>
  </si>
  <si>
    <t>Total Open</t>
  </si>
  <si>
    <t>Hedge</t>
  </si>
  <si>
    <t>Switch</t>
  </si>
  <si>
    <t>ON</t>
  </si>
  <si>
    <t>Status</t>
  </si>
  <si>
    <t>Year Left</t>
  </si>
  <si>
    <t>Delta</t>
  </si>
  <si>
    <t>Volatility</t>
  </si>
  <si>
    <t xml:space="preserve">Opportunity </t>
  </si>
  <si>
    <t>Vol Range</t>
  </si>
  <si>
    <t>Period 1</t>
  </si>
  <si>
    <t>Net</t>
  </si>
  <si>
    <t>Limit</t>
  </si>
  <si>
    <t>Fees</t>
  </si>
  <si>
    <t>RTM</t>
  </si>
  <si>
    <t>CALL</t>
  </si>
  <si>
    <t>Ticker</t>
  </si>
  <si>
    <t>Position</t>
  </si>
  <si>
    <t>Price</t>
  </si>
  <si>
    <t>Intrinsic</t>
  </si>
  <si>
    <t>Extrinic</t>
  </si>
  <si>
    <t>BS</t>
  </si>
  <si>
    <t>Arb</t>
  </si>
  <si>
    <t>Strike</t>
  </si>
  <si>
    <t>RTM1C45</t>
  </si>
  <si>
    <t>RTM1C46</t>
  </si>
  <si>
    <t>RTM1C47</t>
  </si>
  <si>
    <t>RTM1C48</t>
  </si>
  <si>
    <t>RTM1C49</t>
  </si>
  <si>
    <t>RTM1C50</t>
  </si>
  <si>
    <t>RTM1C51</t>
  </si>
  <si>
    <t>RTM1C52</t>
  </si>
  <si>
    <t>RTM1C53</t>
  </si>
  <si>
    <t>RTM1C54</t>
  </si>
  <si>
    <t>RTM1P45</t>
  </si>
  <si>
    <t>RTM1P46</t>
  </si>
  <si>
    <t>RTM1P47</t>
  </si>
  <si>
    <t>RTM1P48</t>
  </si>
  <si>
    <t>RTM1P49</t>
  </si>
  <si>
    <t>RTM1P50</t>
  </si>
  <si>
    <t>RTM1P51</t>
  </si>
  <si>
    <t>RTM1P52</t>
  </si>
  <si>
    <t>RTM1P53</t>
  </si>
  <si>
    <t>RTM1P54</t>
  </si>
  <si>
    <t>Call</t>
  </si>
  <si>
    <t>Perod 1 Verticals</t>
  </si>
  <si>
    <t>Put</t>
  </si>
  <si>
    <t>Max</t>
  </si>
  <si>
    <t>Min</t>
  </si>
  <si>
    <t>Other</t>
  </si>
  <si>
    <t>Arb Option</t>
  </si>
  <si>
    <t>Live Hedge</t>
  </si>
  <si>
    <t>find risk free rate</t>
  </si>
  <si>
    <t>Find delta limit</t>
  </si>
  <si>
    <t>find volatility</t>
  </si>
  <si>
    <t>last vol</t>
  </si>
  <si>
    <t>Vol</t>
  </si>
  <si>
    <t>New Opportunity</t>
  </si>
  <si>
    <t>risk free rate</t>
  </si>
  <si>
    <t>delta limit</t>
  </si>
  <si>
    <t>current volatility</t>
  </si>
  <si>
    <t>tracker</t>
  </si>
  <si>
    <t>high vol</t>
  </si>
  <si>
    <t>low vol</t>
  </si>
  <si>
    <t>1,0,,Delta Limit and Penalty Percentage,The delta limit for this heat is 12,000 and the penalty percentage is 7%</t>
  </si>
  <si>
    <t>VEGA</t>
  </si>
  <si>
    <t>Vega</t>
  </si>
  <si>
    <t>Strangle Hedge</t>
  </si>
  <si>
    <t>Direction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</si>
</sst>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"/>
    <numFmt numFmtId="165" formatCode="0.0%"/>
    <numFmt numFmtId="166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9"/>
      <name val="Arial"/>
      <family val="2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9" fontId="2" fillId="0" borderId="7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0" fontId="3" fillId="2" borderId="3" xfId="0" applyFont="1" applyFill="1" applyBorder="1" applyAlignment="1">
      <alignment horizontal="centerContinuous"/>
    </xf>
    <xf numFmtId="0" fontId="3" fillId="2" borderId="13" xfId="0" applyFont="1" applyFill="1" applyBorder="1" applyAlignment="1">
      <alignment horizontal="centerContinuous"/>
    </xf>
    <xf numFmtId="0" fontId="3" fillId="2" borderId="4" xfId="0" applyFont="1" applyFill="1" applyBorder="1" applyAlignment="1">
      <alignment horizontal="centerContinuous"/>
    </xf>
    <xf numFmtId="0" fontId="3" fillId="2" borderId="11" xfId="0" applyFont="1" applyFill="1" applyBorder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12" xfId="0" applyFont="1" applyFill="1" applyBorder="1" applyAlignment="1">
      <alignment horizontal="centerContinuous"/>
    </xf>
    <xf numFmtId="0" fontId="3" fillId="2" borderId="8" xfId="0" applyFont="1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/>
    <xf numFmtId="2" fontId="2" fillId="0" borderId="13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9" xfId="0" applyFont="1" applyBorder="1"/>
    <xf numFmtId="2" fontId="2" fillId="0" borderId="0" xfId="0" applyNumberFormat="1" applyFont="1" applyAlignment="1">
      <alignment horizontal="center"/>
    </xf>
    <xf numFmtId="1" fontId="3" fillId="0" borderId="14" xfId="0" applyNumberFormat="1" applyFont="1" applyBorder="1" applyAlignment="1">
      <alignment horizontal="center"/>
    </xf>
    <xf numFmtId="0" fontId="2" fillId="0" borderId="10" xfId="0" applyFont="1" applyBorder="1"/>
    <xf numFmtId="0" fontId="2" fillId="0" borderId="5" xfId="0" applyFont="1" applyBorder="1"/>
    <xf numFmtId="2" fontId="2" fillId="0" borderId="1" xfId="0" applyNumberFormat="1" applyFont="1" applyBorder="1" applyAlignment="1">
      <alignment horizontal="center"/>
    </xf>
    <xf numFmtId="1" fontId="3" fillId="0" borderId="15" xfId="0" applyNumberFormat="1" applyFont="1" applyBorder="1" applyAlignment="1">
      <alignment horizontal="center"/>
    </xf>
    <xf numFmtId="0" fontId="2" fillId="0" borderId="6" xfId="0" applyFont="1" applyBorder="1"/>
    <xf numFmtId="2" fontId="2" fillId="0" borderId="0" xfId="0" applyNumberFormat="1" applyFont="1"/>
    <xf numFmtId="0" fontId="2" fillId="0" borderId="8" xfId="0" applyFont="1" applyBorder="1" applyAlignment="1">
      <alignment horizontal="right"/>
    </xf>
    <xf numFmtId="0" fontId="2" fillId="0" borderId="11" xfId="0" applyFont="1" applyBorder="1"/>
    <xf numFmtId="0" fontId="2" fillId="0" borderId="15" xfId="0" applyFont="1" applyBorder="1"/>
    <xf numFmtId="0" fontId="2" fillId="0" borderId="4" xfId="0" applyFont="1" applyBorder="1" applyAlignment="1">
      <alignment horizontal="right"/>
    </xf>
    <xf numFmtId="164" fontId="2" fillId="0" borderId="4" xfId="0" applyNumberFormat="1" applyFont="1" applyBorder="1"/>
    <xf numFmtId="164" fontId="2" fillId="0" borderId="6" xfId="0" applyNumberFormat="1" applyFont="1" applyBorder="1"/>
    <xf numFmtId="1" fontId="2" fillId="0" borderId="5" xfId="0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64" fontId="2" fillId="0" borderId="0" xfId="0" applyNumberFormat="1" applyFont="1"/>
    <xf numFmtId="1" fontId="2" fillId="0" borderId="1" xfId="0" applyNumberFormat="1" applyFont="1" applyBorder="1" applyAlignment="1">
      <alignment horizontal="center"/>
    </xf>
    <xf numFmtId="1" fontId="2" fillId="0" borderId="13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2" fontId="2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right"/>
    </xf>
    <xf numFmtId="0" fontId="2" fillId="0" borderId="7" xfId="0" applyFont="1" applyBorder="1"/>
    <xf numFmtId="0" fontId="2" fillId="0" borderId="14" xfId="0" applyFont="1" applyBorder="1"/>
    <xf numFmtId="0" fontId="2" fillId="0" borderId="2" xfId="0" applyFont="1" applyBorder="1"/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66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/>
    <xf numFmtId="0" fontId="5" fillId="0" borderId="0" xfId="0" applyFont="1"/>
    <xf numFmtId="0" fontId="5" fillId="0" borderId="16" xfId="0" applyFont="1" applyBorder="1"/>
    <xf numFmtId="0" fontId="5" fillId="0" borderId="17" xfId="0" applyFont="1" applyBorder="1"/>
    <xf numFmtId="0" fontId="5" fillId="0" borderId="18" xfId="0" applyFont="1" applyBorder="1"/>
    <xf numFmtId="0" fontId="0" fillId="3" borderId="17" xfId="0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19" xfId="0" quotePrefix="1" applyFont="1" applyBorder="1"/>
    <xf numFmtId="0" fontId="5" fillId="0" borderId="20" xfId="0" applyFont="1" applyBorder="1"/>
    <xf numFmtId="0" fontId="5" fillId="0" borderId="19" xfId="0" applyFont="1" applyBorder="1"/>
    <xf numFmtId="165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0" fontId="0" fillId="0" borderId="0" xfId="0" applyAlignment="1">
      <alignment horizontal="right"/>
    </xf>
    <xf numFmtId="9" fontId="2" fillId="0" borderId="2" xfId="0" applyNumberFormat="1" applyFont="1" applyBorder="1" applyAlignment="1">
      <alignment horizontal="center"/>
    </xf>
    <xf numFmtId="9" fontId="2" fillId="0" borderId="2" xfId="0" applyNumberFormat="1" applyFont="1" applyBorder="1"/>
    <xf numFmtId="165" fontId="3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0" fontId="2" fillId="0" borderId="8" xfId="0" applyFont="1" applyBorder="1"/>
    <xf numFmtId="9" fontId="2" fillId="0" borderId="12" xfId="1" applyFont="1" applyBorder="1" applyAlignment="1">
      <alignment horizontal="center"/>
    </xf>
    <xf numFmtId="1" fontId="2" fillId="0" borderId="8" xfId="0" applyNumberFormat="1" applyFont="1" applyBorder="1"/>
    <xf numFmtId="0" fontId="9" fillId="2" borderId="12" xfId="0" applyFont="1" applyFill="1" applyBorder="1" applyAlignment="1">
      <alignment horizontal="centerContinuous"/>
    </xf>
    <xf numFmtId="2" fontId="9" fillId="2" borderId="3" xfId="0" applyNumberFormat="1" applyFont="1" applyFill="1" applyBorder="1" applyAlignment="1">
      <alignment horizontal="centerContinuous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 patternType="solid"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s">
        <v>RTM|POSITION</v>
        <stp/>
        <stp>RTM</stp>
        <stp>POSITION</stp>
        <tr r="J9" s="2"/>
      </tp>
      <tp t="s">
        <v>RTM|BID</v>
        <stp/>
        <stp>RTM</stp>
        <stp>BID</stp>
        <tr r="J10" s="2"/>
      </tp>
      <tp t="s">
        <v>RTM|ASK</v>
        <stp/>
        <stp>RTM</stp>
        <stp>ASK</stp>
        <tr r="J10" s="2"/>
      </tp>
      <tp t="s">
        <v>TIMEREMAINING</v>
        <stp/>
        <stp>TIMEREMAINING</stp>
        <tr r="C3" s="2"/>
        <tr r="AO3" s="3"/>
      </tp>
      <tp t="s">
        <v>RTM1P49|POSITION</v>
        <stp/>
        <stp>RTM1P49</stp>
        <stp>POSITION</stp>
        <tr r="C29" s="2"/>
      </tp>
      <tp t="s">
        <v>RTM1C49|POSITION</v>
        <stp/>
        <stp>RTM1C49</stp>
        <stp>POSITION</stp>
        <tr r="C17" s="2"/>
      </tp>
      <tp t="s">
        <v>RTM1P48|POSITION</v>
        <stp/>
        <stp>RTM1P48</stp>
        <stp>POSITION</stp>
        <tr r="C28" s="2"/>
      </tp>
      <tp t="s">
        <v>RTM1C48|POSITION</v>
        <stp/>
        <stp>RTM1C48</stp>
        <stp>POSITION</stp>
        <tr r="C16" s="2"/>
      </tp>
      <tp t="s">
        <v>RTM1P45|POSITION</v>
        <stp/>
        <stp>RTM1P45</stp>
        <stp>POSITION</stp>
        <tr r="C25" s="2"/>
      </tp>
      <tp t="s">
        <v>RTM1C45|POSITION</v>
        <stp/>
        <stp>RTM1C45</stp>
        <stp>POSITION</stp>
        <tr r="C13" s="2"/>
      </tp>
      <tp t="s">
        <v>RTM1P47|POSITION</v>
        <stp/>
        <stp>RTM1P47</stp>
        <stp>POSITION</stp>
        <tr r="C27" s="2"/>
      </tp>
      <tp t="s">
        <v>RTM1C47|POSITION</v>
        <stp/>
        <stp>RTM1C47</stp>
        <stp>POSITION</stp>
        <tr r="C15" s="2"/>
      </tp>
      <tp t="s">
        <v>RTM1P46|POSITION</v>
        <stp/>
        <stp>RTM1P46</stp>
        <stp>POSITION</stp>
        <tr r="C26" s="2"/>
      </tp>
      <tp t="s">
        <v>RTM1C46|POSITION</v>
        <stp/>
        <stp>RTM1C46</stp>
        <stp>POSITION</stp>
        <tr r="C14" s="2"/>
      </tp>
      <tp t="s">
        <v>NEWS|24</v>
        <stp/>
        <stp>News</stp>
        <stp/>
        <stp>24</stp>
        <tr r="B26" s="3"/>
      </tp>
      <tp t="s">
        <v>NEWS|25</v>
        <stp/>
        <stp>News</stp>
        <stp/>
        <stp>25</stp>
        <tr r="B27" s="3"/>
      </tp>
      <tp t="s">
        <v>NEWS|26</v>
        <stp/>
        <stp>News</stp>
        <stp/>
        <stp>26</stp>
        <tr r="B28" s="3"/>
      </tp>
      <tp t="s">
        <v>NEWS|20</v>
        <stp/>
        <stp>News</stp>
        <stp/>
        <stp>20</stp>
        <tr r="B22" s="3"/>
      </tp>
      <tp t="s">
        <v>NEWS|21</v>
        <stp/>
        <stp>News</stp>
        <stp/>
        <stp>21</stp>
        <tr r="B23" s="3"/>
      </tp>
      <tp t="s">
        <v>NEWS|22</v>
        <stp/>
        <stp>News</stp>
        <stp/>
        <stp>22</stp>
        <tr r="B24" s="3"/>
      </tp>
      <tp t="s">
        <v>NEWS|23</v>
        <stp/>
        <stp>News</stp>
        <stp/>
        <stp>23</stp>
        <tr r="B25" s="3"/>
      </tp>
      <tp t="s">
        <v>NEWS|18</v>
        <stp/>
        <stp>News</stp>
        <stp/>
        <stp>18</stp>
        <tr r="B20" s="3"/>
      </tp>
      <tp t="s">
        <v>NEWS|19</v>
        <stp/>
        <stp>News</stp>
        <stp/>
        <stp>19</stp>
        <tr r="B21" s="3"/>
      </tp>
      <tp t="s">
        <v>NEWS|14</v>
        <stp/>
        <stp>News</stp>
        <stp/>
        <stp>14</stp>
        <tr r="B16" s="3"/>
      </tp>
      <tp t="s">
        <v>NEWS|15</v>
        <stp/>
        <stp>News</stp>
        <stp/>
        <stp>15</stp>
        <tr r="B17" s="3"/>
      </tp>
      <tp t="s">
        <v>NEWS|16</v>
        <stp/>
        <stp>News</stp>
        <stp/>
        <stp>16</stp>
        <tr r="B18" s="3"/>
      </tp>
      <tp t="s">
        <v>NEWS|17</v>
        <stp/>
        <stp>News</stp>
        <stp/>
        <stp>17</stp>
        <tr r="B19" s="3"/>
      </tp>
      <tp t="s">
        <v>NEWS|10</v>
        <stp/>
        <stp>News</stp>
        <stp/>
        <stp>10</stp>
        <tr r="B12" s="3"/>
      </tp>
      <tp t="s">
        <v>NEWS|11</v>
        <stp/>
        <stp>News</stp>
        <stp/>
        <stp>11</stp>
        <tr r="B13" s="3"/>
      </tp>
      <tp t="s">
        <v>NEWS|12</v>
        <stp/>
        <stp>News</stp>
        <stp/>
        <stp>12</stp>
        <tr r="B14" s="3"/>
      </tp>
      <tp t="s">
        <v>NEWS|13</v>
        <stp/>
        <stp>News</stp>
        <stp/>
        <stp>13</stp>
        <tr r="B15" s="3"/>
      </tp>
      <tp t="s">
        <v>RTM1P54|POSITION</v>
        <stp/>
        <stp>RTM1P54</stp>
        <stp>POSITION</stp>
        <tr r="C34" s="2"/>
      </tp>
      <tp t="s">
        <v>RTM1C54|POSITION</v>
        <stp/>
        <stp>RTM1C54</stp>
        <stp>POSITION</stp>
        <tr r="C22" s="2"/>
      </tp>
      <tp t="s">
        <v>RTM1P51|POSITION</v>
        <stp/>
        <stp>RTM1P51</stp>
        <stp>POSITION</stp>
        <tr r="C31" s="2"/>
      </tp>
      <tp t="s">
        <v>RTM1C51|POSITION</v>
        <stp/>
        <stp>RTM1C51</stp>
        <stp>POSITION</stp>
        <tr r="C19" s="2"/>
      </tp>
      <tp t="s">
        <v>RTM1P50|POSITION</v>
        <stp/>
        <stp>RTM1P50</stp>
        <stp>POSITION</stp>
        <tr r="C30" s="2"/>
      </tp>
      <tp t="s">
        <v>RTM1C50|POSITION</v>
        <stp/>
        <stp>RTM1C50</stp>
        <stp>POSITION</stp>
        <tr r="C18" s="2"/>
      </tp>
      <tp t="s">
        <v>RTM1P53|POSITION</v>
        <stp/>
        <stp>RTM1P53</stp>
        <stp>POSITION</stp>
        <tr r="C33" s="2"/>
      </tp>
      <tp t="s">
        <v>RTM1C53|POSITION</v>
        <stp/>
        <stp>RTM1C53</stp>
        <stp>POSITION</stp>
        <tr r="C21" s="2"/>
      </tp>
      <tp t="s">
        <v>RTM1P52|POSITION</v>
        <stp/>
        <stp>RTM1P52</stp>
        <stp>POSITION</stp>
        <tr r="C32" s="2"/>
      </tp>
      <tp t="s">
        <v>RTM1C52|POSITION</v>
        <stp/>
        <stp>RTM1C52</stp>
        <stp>POSITION</stp>
        <tr r="C20" s="2"/>
      </tp>
      <tp t="s">
        <v>NEWS|9</v>
        <stp/>
        <stp>News</stp>
        <stp/>
        <stp>9</stp>
        <tr r="B11" s="3"/>
      </tp>
      <tp t="s">
        <v>NEWS|8</v>
        <stp/>
        <stp>News</stp>
        <stp/>
        <stp>8</stp>
        <tr r="B10" s="3"/>
      </tp>
      <tp t="s">
        <v>NEWS|3</v>
        <stp/>
        <stp>News</stp>
        <stp/>
        <stp>3</stp>
        <tr r="B5" s="3"/>
      </tp>
      <tp t="s">
        <v>NEWS|2</v>
        <stp/>
        <stp>News</stp>
        <stp/>
        <stp>2</stp>
        <tr r="B4" s="3"/>
      </tp>
      <tp t="s">
        <v>NEWS|1</v>
        <stp/>
        <stp>News</stp>
        <stp/>
        <stp>1</stp>
        <tr r="B3" s="3"/>
      </tp>
      <tp t="s">
        <v>NEWS|7</v>
        <stp/>
        <stp>News</stp>
        <stp/>
        <stp>7</stp>
        <tr r="B9" s="3"/>
      </tp>
      <tp t="s">
        <v>NEWS|6</v>
        <stp/>
        <stp>News</stp>
        <stp/>
        <stp>6</stp>
        <tr r="B8" s="3"/>
      </tp>
      <tp t="s">
        <v>NEWS|5</v>
        <stp/>
        <stp>News</stp>
        <stp/>
        <stp>5</stp>
        <tr r="B7" s="3"/>
      </tp>
      <tp t="s">
        <v>NEWS|4</v>
        <stp/>
        <stp>News</stp>
        <stp/>
        <stp>4</stp>
        <tr r="B6" s="3"/>
      </tp>
      <tp t="s">
        <v>PERIOD</v>
        <stp/>
        <stp>PERIOD</stp>
        <tr r="B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35</xdr:row>
          <xdr:rowOff>57150</xdr:rowOff>
        </xdr:from>
        <xdr:to>
          <xdr:col>6</xdr:col>
          <xdr:colOff>161925</xdr:colOff>
          <xdr:row>37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P1 Normal Call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35</xdr:row>
          <xdr:rowOff>57150</xdr:rowOff>
        </xdr:from>
        <xdr:to>
          <xdr:col>7</xdr:col>
          <xdr:colOff>676275</xdr:colOff>
          <xdr:row>37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P1 Normal Put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38</xdr:row>
          <xdr:rowOff>133350</xdr:rowOff>
        </xdr:from>
        <xdr:to>
          <xdr:col>6</xdr:col>
          <xdr:colOff>161925</xdr:colOff>
          <xdr:row>41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P1 Risky Call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38</xdr:row>
          <xdr:rowOff>133350</xdr:rowOff>
        </xdr:from>
        <xdr:to>
          <xdr:col>7</xdr:col>
          <xdr:colOff>676275</xdr:colOff>
          <xdr:row>41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P1 Risky Put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700088</xdr:colOff>
          <xdr:row>41</xdr:row>
          <xdr:rowOff>123825</xdr:rowOff>
        </xdr:from>
        <xdr:to>
          <xdr:col>6</xdr:col>
          <xdr:colOff>100013</xdr:colOff>
          <xdr:row>44</xdr:row>
          <xdr:rowOff>71438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Liquidate Options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41</xdr:row>
          <xdr:rowOff>157163</xdr:rowOff>
        </xdr:from>
        <xdr:to>
          <xdr:col>7</xdr:col>
          <xdr:colOff>647700</xdr:colOff>
          <xdr:row>44</xdr:row>
          <xdr:rowOff>104775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Liquidate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16</xdr:row>
          <xdr:rowOff>47625</xdr:rowOff>
        </xdr:from>
        <xdr:to>
          <xdr:col>24</xdr:col>
          <xdr:colOff>333375</xdr:colOff>
          <xdr:row>19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Liquidate Calls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28</xdr:row>
          <xdr:rowOff>9525</xdr:rowOff>
        </xdr:from>
        <xdr:to>
          <xdr:col>24</xdr:col>
          <xdr:colOff>400050</xdr:colOff>
          <xdr:row>30</xdr:row>
          <xdr:rowOff>161925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Liquidate 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690563</xdr:colOff>
          <xdr:row>15</xdr:row>
          <xdr:rowOff>119063</xdr:rowOff>
        </xdr:from>
        <xdr:to>
          <xdr:col>22</xdr:col>
          <xdr:colOff>633413</xdr:colOff>
          <xdr:row>19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 stradel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27</xdr:row>
          <xdr:rowOff>147638</xdr:rowOff>
        </xdr:from>
        <xdr:to>
          <xdr:col>22</xdr:col>
          <xdr:colOff>700088</xdr:colOff>
          <xdr:row>31</xdr:row>
          <xdr:rowOff>114300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Sell straddle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45</xdr:row>
          <xdr:rowOff>42863</xdr:rowOff>
        </xdr:from>
        <xdr:to>
          <xdr:col>7</xdr:col>
          <xdr:colOff>490538</xdr:colOff>
          <xdr:row>48</xdr:row>
          <xdr:rowOff>47625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Strangle trade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X55"/>
  <sheetViews>
    <sheetView showGridLines="0" tabSelected="1" zoomScale="55" zoomScaleNormal="55" workbookViewId="0">
      <selection activeCell="J9" sqref="J9"/>
    </sheetView>
  </sheetViews>
  <sheetFormatPr defaultColWidth="10.73046875" defaultRowHeight="13.15" x14ac:dyDescent="0.4"/>
  <cols>
    <col min="1" max="4" width="10.73046875" style="1"/>
    <col min="5" max="5" width="12.86328125" style="1" bestFit="1" customWidth="1"/>
    <col min="6" max="18" width="10.73046875" style="1"/>
    <col min="19" max="19" width="13.73046875" style="1" bestFit="1" customWidth="1"/>
    <col min="20" max="16384" width="10.73046875" style="1"/>
  </cols>
  <sheetData>
    <row r="1" spans="2:24" ht="13.5" thickBot="1" x14ac:dyDescent="0.45"/>
    <row r="2" spans="2:24" ht="14.65" thickBot="1" x14ac:dyDescent="0.5">
      <c r="B2" s="3" t="s">
        <v>0</v>
      </c>
      <c r="C2" s="37" t="s">
        <v>1</v>
      </c>
      <c r="D2" s="37" t="s">
        <v>2</v>
      </c>
      <c r="E2" s="30" t="s">
        <v>3</v>
      </c>
      <c r="G2" s="3" t="s">
        <v>4</v>
      </c>
      <c r="H2" s="4" t="s">
        <v>5</v>
      </c>
      <c r="I2" s="4" t="s">
        <v>6</v>
      </c>
      <c r="J2" s="79" t="s">
        <v>7</v>
      </c>
      <c r="N2" s="50"/>
      <c r="O2" s="52" t="s">
        <v>8</v>
      </c>
      <c r="P2"/>
    </row>
    <row r="3" spans="2:24" ht="14.65" thickBot="1" x14ac:dyDescent="0.5">
      <c r="B3" s="36" t="str">
        <f>RTD("rit2.rtd",,"PERIOD")</f>
        <v>PERIOD</v>
      </c>
      <c r="C3" s="38" t="str">
        <f>RTD("rit2.rtd",,"TIMEREMAINING")</f>
        <v>TIMEREMAINING</v>
      </c>
      <c r="D3" s="38">
        <v>300</v>
      </c>
      <c r="E3" s="39" t="e">
        <f>IF((75-MOD(D3-C3,75))&gt;37,37-MOD(D3-C3,37), 75-MOD(D3-C3,75))</f>
        <v>#VALUE!</v>
      </c>
      <c r="G3" s="5">
        <v>0</v>
      </c>
      <c r="H3" s="6">
        <v>20</v>
      </c>
      <c r="I3" s="80">
        <v>0</v>
      </c>
      <c r="J3" s="81">
        <f>SUM(C13:C22,C25:C34,Q13:Q22,Q25:Q34)</f>
        <v>0</v>
      </c>
      <c r="N3" s="21" t="s">
        <v>9</v>
      </c>
      <c r="O3" s="51" t="s">
        <v>10</v>
      </c>
      <c r="P3"/>
      <c r="U3"/>
    </row>
    <row r="4" spans="2:24" ht="14.65" thickBot="1" x14ac:dyDescent="0.5">
      <c r="N4" s="25" t="s">
        <v>11</v>
      </c>
      <c r="O4" s="32" t="str">
        <f>deltaHedge(O3, F6,F7)</f>
        <v>ON</v>
      </c>
      <c r="P4"/>
      <c r="U4"/>
    </row>
    <row r="5" spans="2:24" ht="14.65" thickBot="1" x14ac:dyDescent="0.5">
      <c r="B5" s="31"/>
      <c r="C5" s="33" t="s">
        <v>12</v>
      </c>
      <c r="E5" s="40"/>
      <c r="F5" s="41" t="s">
        <v>13</v>
      </c>
      <c r="H5" s="86" t="e">
        <f>+E3</f>
        <v>#VALUE!</v>
      </c>
      <c r="I5" s="87"/>
      <c r="J5" s="77" t="s">
        <v>14</v>
      </c>
      <c r="K5" s="47" t="s">
        <v>15</v>
      </c>
      <c r="L5" s="84" t="s">
        <v>16</v>
      </c>
      <c r="M5" s="85"/>
      <c r="U5"/>
      <c r="V5" s="29"/>
    </row>
    <row r="6" spans="2:24" ht="14.65" thickBot="1" x14ac:dyDescent="0.5">
      <c r="B6" s="31" t="s">
        <v>17</v>
      </c>
      <c r="C6" s="34">
        <f>IF(B3=1,C3/D3/12, 0)</f>
        <v>0</v>
      </c>
      <c r="E6" s="1" t="s">
        <v>18</v>
      </c>
      <c r="F6" s="48">
        <f>SUM(100*SUMPRODUCT(C13:C22,E13:E22), 100*SUMPRODUCT(C25:C34,E25:E34), 100*SUMPRODUCT(O13:O22,Q13:Q22), 100*SUMPRODUCT(O25:O34,Q25:Q34), J9)</f>
        <v>0</v>
      </c>
      <c r="H6" s="88"/>
      <c r="I6" s="89"/>
      <c r="J6" s="78">
        <f>IFERROR(+News!AL28/100, 20%)</f>
        <v>0.2</v>
      </c>
      <c r="K6" s="75" t="e">
        <f>+News!AP23</f>
        <v>#VALUE!</v>
      </c>
      <c r="L6" s="73" t="e">
        <f>+MAX(News!$AQ$4:$AQ$19)/100</f>
        <v>#VALUE!</v>
      </c>
      <c r="M6" s="74" t="e">
        <f>+MAX(News!$AR$4:$AR$20)/100</f>
        <v>#VALUE!</v>
      </c>
      <c r="U6"/>
      <c r="V6" s="29"/>
    </row>
    <row r="7" spans="2:24" ht="14.65" thickBot="1" x14ac:dyDescent="0.5">
      <c r="B7" s="32"/>
      <c r="C7" s="35"/>
      <c r="E7" s="42" t="s">
        <v>19</v>
      </c>
      <c r="F7" s="49">
        <v>0</v>
      </c>
      <c r="U7"/>
    </row>
    <row r="8" spans="2:24" ht="14.65" thickBot="1" x14ac:dyDescent="0.5">
      <c r="E8" s="1" t="s">
        <v>20</v>
      </c>
      <c r="F8" s="41">
        <f>News!I28</f>
        <v>0</v>
      </c>
      <c r="G8" s="76"/>
      <c r="J8" s="47" t="s">
        <v>21</v>
      </c>
      <c r="U8"/>
    </row>
    <row r="9" spans="2:24" ht="14.65" thickBot="1" x14ac:dyDescent="0.5">
      <c r="J9" s="46" t="str">
        <f>RTD("rit2.rtd",,J8,"POSITION")</f>
        <v>RTM|POSITION</v>
      </c>
      <c r="U9"/>
      <c r="W9"/>
      <c r="X9"/>
    </row>
    <row r="10" spans="2:24" ht="14.65" thickBot="1" x14ac:dyDescent="0.5">
      <c r="B10" s="7" t="s">
        <v>17</v>
      </c>
      <c r="C10" s="7"/>
      <c r="D10" s="7"/>
      <c r="E10" s="7"/>
      <c r="F10" s="7"/>
      <c r="G10" s="7"/>
      <c r="H10" s="7"/>
      <c r="I10" s="7"/>
      <c r="J10" s="83" t="e">
        <f>AVERAGE(RTD("rit2.rtd",,J8,"BID"), RTD("rit2.rtd",,J8,"ASK"))</f>
        <v>#VALUE!</v>
      </c>
      <c r="K10" s="7"/>
      <c r="L10" s="8"/>
      <c r="M10" s="9"/>
      <c r="N10" s="10"/>
      <c r="O10" s="9"/>
      <c r="P10" s="9"/>
      <c r="Q10" s="9"/>
      <c r="R10" s="9"/>
      <c r="U10"/>
      <c r="W10"/>
      <c r="X10"/>
    </row>
    <row r="11" spans="2:24" ht="14.65" thickBot="1" x14ac:dyDescent="0.5">
      <c r="B11" s="11" t="s">
        <v>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  <c r="U11"/>
      <c r="W11"/>
      <c r="X11"/>
    </row>
    <row r="12" spans="2:24" ht="14.65" thickBot="1" x14ac:dyDescent="0.5">
      <c r="B12" s="14" t="s">
        <v>23</v>
      </c>
      <c r="C12" s="15" t="s">
        <v>24</v>
      </c>
      <c r="D12" s="15" t="s">
        <v>25</v>
      </c>
      <c r="E12" s="15" t="s">
        <v>13</v>
      </c>
      <c r="F12" s="15" t="s">
        <v>26</v>
      </c>
      <c r="G12" s="15" t="s">
        <v>27</v>
      </c>
      <c r="H12" s="15" t="s">
        <v>28</v>
      </c>
      <c r="I12" s="15" t="s">
        <v>29</v>
      </c>
      <c r="J12" s="2" t="s">
        <v>30</v>
      </c>
      <c r="K12" s="14" t="s">
        <v>13</v>
      </c>
      <c r="L12" s="15" t="s">
        <v>72</v>
      </c>
      <c r="M12"/>
      <c r="N12" s="15"/>
      <c r="O12" s="15"/>
      <c r="P12" s="15"/>
      <c r="Q12" s="15"/>
      <c r="R12" s="16"/>
      <c r="U12"/>
      <c r="V12" s="1" t="s">
        <v>54</v>
      </c>
      <c r="W12" s="29" t="e">
        <f>MAX(L13:L22)</f>
        <v>#VALUE!</v>
      </c>
    </row>
    <row r="13" spans="2:24" ht="14.25" x14ac:dyDescent="0.45">
      <c r="B13" s="17" t="s">
        <v>31</v>
      </c>
      <c r="C13" s="44" t="str">
        <f>RTD("rit2.rtd",,B13,"POSITION")</f>
        <v>RTM1C45|POSITION</v>
      </c>
      <c r="D13" s="18">
        <f>IF($B$3=1,AVERAGE(RTD("rit2.rtd",,B13,"BID"), RTD("rit2.rtd",,B13,"ASK")), 0)</f>
        <v>0</v>
      </c>
      <c r="E13" s="18">
        <f>IFERROR(calculateDelta(J13,$B$11,$J$6,$J$10,$G$3,$C$6,$I$3), 0)</f>
        <v>0</v>
      </c>
      <c r="F13" s="18">
        <f t="shared" ref="F13:F22" si="0">IF($B$3=1,MAX(0, $J$10-J13),0)</f>
        <v>0</v>
      </c>
      <c r="G13" s="18">
        <f>IF($B$3=1,D13-F13,0)</f>
        <v>0</v>
      </c>
      <c r="H13" s="18">
        <f>IFERROR(calculateBsPrice($J13,$B$11,$J$6,$J$10,$G$3,$C$6,$I$3), 0)</f>
        <v>0</v>
      </c>
      <c r="I13" s="18">
        <f>D13-H13</f>
        <v>0</v>
      </c>
      <c r="J13" s="19">
        <v>45</v>
      </c>
      <c r="K13" s="22"/>
      <c r="L13" s="22" t="e">
        <f>CalculateVega(J13,$J$6,$J$10,$G$3,$C$6,$I$3)</f>
        <v>#VALUE!</v>
      </c>
      <c r="M13" s="22"/>
      <c r="N13" s="18"/>
      <c r="O13" s="18"/>
      <c r="P13" s="18"/>
      <c r="Q13" s="44"/>
      <c r="R13" s="20"/>
      <c r="U13"/>
      <c r="W13" s="40"/>
    </row>
    <row r="14" spans="2:24" ht="14.25" x14ac:dyDescent="0.45">
      <c r="B14" s="21" t="s">
        <v>32</v>
      </c>
      <c r="C14" s="45" t="str">
        <f>RTD("rit2.rtd",,B14,"POSITION")</f>
        <v>RTM1C46|POSITION</v>
      </c>
      <c r="D14" s="22">
        <f>IF($B$3=1,AVERAGE(RTD("rit2.rtd",,B14,"BID"), RTD("rit2.rtd",,B14,"ASK")), 0)</f>
        <v>0</v>
      </c>
      <c r="E14" s="22">
        <f>IFERROR(calculateDelta(J14,$B$11,$J$6,$J$10,$G$3,$C$6,$I$3), 0)</f>
        <v>0</v>
      </c>
      <c r="F14" s="22">
        <f t="shared" si="0"/>
        <v>0</v>
      </c>
      <c r="G14" s="22">
        <f t="shared" ref="G14:G22" si="1">IF($B$3=1,D14-F14,0)</f>
        <v>0</v>
      </c>
      <c r="H14" s="22">
        <f>IFERROR(calculateBsPrice($J14,$B$11,$J$6,$J$10,$G$3,$C$6,$I$3), 0)</f>
        <v>0</v>
      </c>
      <c r="I14" s="22">
        <f t="shared" ref="I14:I22" si="2">D14-H14</f>
        <v>0</v>
      </c>
      <c r="J14" s="23">
        <f>J13+1</f>
        <v>46</v>
      </c>
      <c r="K14" s="22"/>
      <c r="L14" s="22" t="e">
        <f t="shared" ref="L14:L22" si="3">CalculateVega(J14,$J$6,$J$10,$G$3,$C$6,$I$3)</f>
        <v>#VALUE!</v>
      </c>
      <c r="M14" s="22"/>
      <c r="N14" s="22"/>
      <c r="O14" s="22"/>
      <c r="P14" s="22"/>
      <c r="Q14" s="45"/>
      <c r="R14" s="24"/>
      <c r="U14"/>
      <c r="V14" s="1" t="s">
        <v>72</v>
      </c>
      <c r="W14" s="22" t="e">
        <f>INDEX(B13:B22,MATCH(W12,L13:L22,0))</f>
        <v>#VALUE!</v>
      </c>
    </row>
    <row r="15" spans="2:24" ht="14.25" x14ac:dyDescent="0.45">
      <c r="B15" s="21" t="s">
        <v>33</v>
      </c>
      <c r="C15" s="45" t="str">
        <f>RTD("rit2.rtd",,B15,"POSITION")</f>
        <v>RTM1C47|POSITION</v>
      </c>
      <c r="D15" s="22">
        <f>IF($B$3=1,AVERAGE(RTD("rit2.rtd",,B15,"BID"), RTD("rit2.rtd",,B15,"ASK")), 0)</f>
        <v>0</v>
      </c>
      <c r="E15" s="22">
        <f>IFERROR(calculateDelta(J15,$B$11,$J$6,$J$10,$G$3,$C$6,$I$3), 0)</f>
        <v>0</v>
      </c>
      <c r="F15" s="22">
        <f t="shared" si="0"/>
        <v>0</v>
      </c>
      <c r="G15" s="22">
        <f t="shared" si="1"/>
        <v>0</v>
      </c>
      <c r="H15" s="22">
        <f>IFERROR(calculateBsPrice($J15,$B$11,$J$6,$J$10,$G$3,$C$6,$I$3), 0)</f>
        <v>0</v>
      </c>
      <c r="I15" s="22">
        <f t="shared" si="2"/>
        <v>0</v>
      </c>
      <c r="J15" s="23">
        <f t="shared" ref="J15:J22" si="4">J14+1</f>
        <v>47</v>
      </c>
      <c r="K15" s="22"/>
      <c r="L15" s="22" t="e">
        <f t="shared" si="3"/>
        <v>#VALUE!</v>
      </c>
      <c r="M15" s="22"/>
      <c r="N15" s="22"/>
      <c r="O15" s="22"/>
      <c r="P15" s="22"/>
      <c r="Q15" s="45"/>
      <c r="R15" s="24"/>
      <c r="U15"/>
      <c r="W15" s="22"/>
    </row>
    <row r="16" spans="2:24" ht="14.25" x14ac:dyDescent="0.45">
      <c r="B16" s="21" t="s">
        <v>34</v>
      </c>
      <c r="C16" s="45" t="str">
        <f>RTD("rit2.rtd",,B16,"POSITION")</f>
        <v>RTM1C48|POSITION</v>
      </c>
      <c r="D16" s="22">
        <f>IF($B$3=1,AVERAGE(RTD("rit2.rtd",,B16,"BID"), RTD("rit2.rtd",,B16,"ASK")), 0)</f>
        <v>0</v>
      </c>
      <c r="E16" s="22">
        <f>IFERROR(calculateDelta(J16,$B$11,$J$6,$J$10,$G$3,$C$6,$I$3), 0)</f>
        <v>0</v>
      </c>
      <c r="F16" s="22">
        <f t="shared" si="0"/>
        <v>0</v>
      </c>
      <c r="G16" s="22">
        <f t="shared" si="1"/>
        <v>0</v>
      </c>
      <c r="H16" s="22">
        <f>IFERROR(calculateBsPrice($J16,$B$11,$J$6,$J$10,$G$3,$C$6,$I$3), 0)</f>
        <v>0</v>
      </c>
      <c r="I16" s="22">
        <f t="shared" si="2"/>
        <v>0</v>
      </c>
      <c r="J16" s="23">
        <f t="shared" si="4"/>
        <v>48</v>
      </c>
      <c r="K16" s="22"/>
      <c r="L16" s="22" t="e">
        <f t="shared" si="3"/>
        <v>#VALUE!</v>
      </c>
      <c r="M16" s="22"/>
      <c r="N16" s="22"/>
      <c r="O16" s="22"/>
      <c r="P16" s="22"/>
      <c r="Q16" s="45"/>
      <c r="R16" s="24"/>
      <c r="U16"/>
      <c r="W16" s="40"/>
    </row>
    <row r="17" spans="2:23" ht="14.25" x14ac:dyDescent="0.45">
      <c r="B17" s="21" t="s">
        <v>35</v>
      </c>
      <c r="C17" s="45" t="str">
        <f>RTD("rit2.rtd",,B17,"POSITION")</f>
        <v>RTM1C49|POSITION</v>
      </c>
      <c r="D17" s="22">
        <f>IF($B$3=1,AVERAGE(RTD("rit2.rtd",,B17,"BID"), RTD("rit2.rtd",,B17,"ASK")), 0)</f>
        <v>0</v>
      </c>
      <c r="E17" s="22">
        <f>IFERROR(calculateDelta(J17,$B$11,$J$6,$J$10,$G$3,$C$6,$I$3), 0)</f>
        <v>0</v>
      </c>
      <c r="F17" s="22">
        <f t="shared" si="0"/>
        <v>0</v>
      </c>
      <c r="G17" s="22">
        <f t="shared" si="1"/>
        <v>0</v>
      </c>
      <c r="H17" s="22">
        <f>IFERROR(calculateBsPrice($J17,$B$11,$J$6,$J$10,$G$3,$C$6,$I$3), 0)</f>
        <v>0</v>
      </c>
      <c r="I17" s="22">
        <f t="shared" si="2"/>
        <v>0</v>
      </c>
      <c r="J17" s="23">
        <f t="shared" si="4"/>
        <v>49</v>
      </c>
      <c r="K17" s="22"/>
      <c r="L17" s="22" t="e">
        <f t="shared" si="3"/>
        <v>#VALUE!</v>
      </c>
      <c r="M17" s="22"/>
      <c r="N17" s="22"/>
      <c r="O17" s="22"/>
      <c r="P17" s="22"/>
      <c r="Q17" s="45"/>
      <c r="R17" s="24"/>
      <c r="U17"/>
      <c r="W17" s="40"/>
    </row>
    <row r="18" spans="2:23" ht="14.25" x14ac:dyDescent="0.45">
      <c r="B18" s="21" t="s">
        <v>36</v>
      </c>
      <c r="C18" s="45" t="str">
        <f>RTD("rit2.rtd",,B18,"POSITION")</f>
        <v>RTM1C50|POSITION</v>
      </c>
      <c r="D18" s="22">
        <f>IF($B$3=1,AVERAGE(RTD("rit2.rtd",,B18,"BID"), RTD("rit2.rtd",,B18,"ASK")), 0)</f>
        <v>0</v>
      </c>
      <c r="E18" s="22">
        <f>IFERROR(calculateDelta(J18,$B$11,$J$6,$J$10,$G$3,$C$6,$I$3), 0)</f>
        <v>0</v>
      </c>
      <c r="F18" s="22">
        <f t="shared" si="0"/>
        <v>0</v>
      </c>
      <c r="G18" s="22">
        <f t="shared" si="1"/>
        <v>0</v>
      </c>
      <c r="H18" s="22">
        <f>IFERROR(calculateBsPrice($J18,$B$11,$J$6,$J$10,$G$3,$C$6,$I$3), 0)</f>
        <v>0</v>
      </c>
      <c r="I18" s="22">
        <f t="shared" si="2"/>
        <v>0</v>
      </c>
      <c r="J18" s="23">
        <f t="shared" si="4"/>
        <v>50</v>
      </c>
      <c r="K18" s="22"/>
      <c r="L18" s="22" t="e">
        <f t="shared" si="3"/>
        <v>#VALUE!</v>
      </c>
      <c r="M18" s="22"/>
      <c r="N18" s="22"/>
      <c r="O18" s="22"/>
      <c r="P18" s="22"/>
      <c r="Q18" s="45"/>
      <c r="R18" s="24"/>
      <c r="U18"/>
      <c r="W18" s="40"/>
    </row>
    <row r="19" spans="2:23" ht="14.25" x14ac:dyDescent="0.45">
      <c r="B19" s="21" t="s">
        <v>37</v>
      </c>
      <c r="C19" s="45" t="str">
        <f>RTD("rit2.rtd",,B19,"POSITION")</f>
        <v>RTM1C51|POSITION</v>
      </c>
      <c r="D19" s="22">
        <f>IF($B$3=1,AVERAGE(RTD("rit2.rtd",,B19,"BID"), RTD("rit2.rtd",,B19,"ASK")), 0)</f>
        <v>0</v>
      </c>
      <c r="E19" s="22">
        <f>IFERROR(calculateDelta(J19,$B$11,$J$6,$J$10,$G$3,$C$6,$I$3), 0)</f>
        <v>0</v>
      </c>
      <c r="F19" s="22">
        <f t="shared" si="0"/>
        <v>0</v>
      </c>
      <c r="G19" s="22">
        <f t="shared" si="1"/>
        <v>0</v>
      </c>
      <c r="H19" s="22">
        <f>IFERROR(calculateBsPrice($J19,$B$11,$J$6,$J$10,$G$3,$C$6,$I$3), 0)</f>
        <v>0</v>
      </c>
      <c r="I19" s="22">
        <f t="shared" si="2"/>
        <v>0</v>
      </c>
      <c r="J19" s="23">
        <f t="shared" si="4"/>
        <v>51</v>
      </c>
      <c r="K19" s="22"/>
      <c r="L19" s="22" t="e">
        <f t="shared" si="3"/>
        <v>#VALUE!</v>
      </c>
      <c r="M19" s="22"/>
      <c r="N19" s="22"/>
      <c r="O19" s="22"/>
      <c r="P19" s="22"/>
      <c r="Q19" s="45"/>
      <c r="R19" s="24"/>
      <c r="U19"/>
      <c r="W19" s="40"/>
    </row>
    <row r="20" spans="2:23" ht="14.25" x14ac:dyDescent="0.45">
      <c r="B20" s="21" t="s">
        <v>38</v>
      </c>
      <c r="C20" s="45" t="str">
        <f>RTD("rit2.rtd",,B20,"POSITION")</f>
        <v>RTM1C52|POSITION</v>
      </c>
      <c r="D20" s="22">
        <f>IF($B$3=1,AVERAGE(RTD("rit2.rtd",,B20,"BID"), RTD("rit2.rtd",,B20,"ASK")), 0)</f>
        <v>0</v>
      </c>
      <c r="E20" s="22">
        <f>IFERROR(calculateDelta(J20,$B$11,$J$6,$J$10,$G$3,$C$6,$I$3), 0)</f>
        <v>0</v>
      </c>
      <c r="F20" s="22">
        <f t="shared" si="0"/>
        <v>0</v>
      </c>
      <c r="G20" s="22">
        <f t="shared" si="1"/>
        <v>0</v>
      </c>
      <c r="H20" s="22">
        <f>IFERROR(calculateBsPrice($J20,$B$11,$J$6,$J$10,$G$3,$C$6,$I$3), 0)</f>
        <v>0</v>
      </c>
      <c r="I20" s="22">
        <f t="shared" si="2"/>
        <v>0</v>
      </c>
      <c r="J20" s="23">
        <f t="shared" si="4"/>
        <v>52</v>
      </c>
      <c r="K20" s="22"/>
      <c r="L20" s="22" t="e">
        <f t="shared" si="3"/>
        <v>#VALUE!</v>
      </c>
      <c r="M20" s="22"/>
      <c r="N20" s="22"/>
      <c r="O20" s="22"/>
      <c r="P20" s="22"/>
      <c r="Q20" s="45"/>
      <c r="R20" s="24"/>
      <c r="U20"/>
      <c r="W20" s="40"/>
    </row>
    <row r="21" spans="2:23" ht="14.25" x14ac:dyDescent="0.45">
      <c r="B21" s="21" t="s">
        <v>39</v>
      </c>
      <c r="C21" s="45" t="str">
        <f>RTD("rit2.rtd",,B21,"POSITION")</f>
        <v>RTM1C53|POSITION</v>
      </c>
      <c r="D21" s="22">
        <f>IF($B$3=1,AVERAGE(RTD("rit2.rtd",,B21,"BID"), RTD("rit2.rtd",,B21,"ASK")), 0)</f>
        <v>0</v>
      </c>
      <c r="E21" s="22">
        <f>IFERROR(calculateDelta(J21,$B$11,$J$6,$J$10,$G$3,$C$6,$I$3), 0)</f>
        <v>0</v>
      </c>
      <c r="F21" s="22">
        <f t="shared" si="0"/>
        <v>0</v>
      </c>
      <c r="G21" s="22">
        <f t="shared" si="1"/>
        <v>0</v>
      </c>
      <c r="H21" s="22">
        <f>IFERROR(calculateBsPrice($J21,$B$11,$J$6,$J$10,$G$3,$C$6,$I$3), 0)</f>
        <v>0</v>
      </c>
      <c r="I21" s="22">
        <f t="shared" si="2"/>
        <v>0</v>
      </c>
      <c r="J21" s="23">
        <f t="shared" si="4"/>
        <v>53</v>
      </c>
      <c r="K21" s="22"/>
      <c r="L21" s="22" t="e">
        <f t="shared" si="3"/>
        <v>#VALUE!</v>
      </c>
      <c r="M21" s="22"/>
      <c r="N21" s="22"/>
      <c r="O21" s="22"/>
      <c r="P21" s="22"/>
      <c r="Q21" s="45"/>
      <c r="R21" s="24"/>
      <c r="U21"/>
      <c r="W21" s="40"/>
    </row>
    <row r="22" spans="2:23" ht="14.65" thickBot="1" x14ac:dyDescent="0.5">
      <c r="B22" s="25" t="s">
        <v>40</v>
      </c>
      <c r="C22" s="43" t="str">
        <f>RTD("rit2.rtd",,B22,"POSITION")</f>
        <v>RTM1C54|POSITION</v>
      </c>
      <c r="D22" s="26">
        <f>IF($B$3=1,AVERAGE(RTD("rit2.rtd",,B22,"BID"), RTD("rit2.rtd",,B22,"ASK")), 0)</f>
        <v>0</v>
      </c>
      <c r="E22" s="26">
        <f>IFERROR(calculateDelta(J22,$B$11,$J$6,$J$10,$G$3,$C$6,$I$3), 0)</f>
        <v>0</v>
      </c>
      <c r="F22" s="26">
        <f t="shared" si="0"/>
        <v>0</v>
      </c>
      <c r="G22" s="26">
        <f t="shared" si="1"/>
        <v>0</v>
      </c>
      <c r="H22" s="26">
        <f>IFERROR(calculateBsPrice($J22,$B$11,$J$6,$J$10,$G$3,$C$6,$I$3), 0)</f>
        <v>0</v>
      </c>
      <c r="I22" s="26">
        <f t="shared" si="2"/>
        <v>0</v>
      </c>
      <c r="J22" s="27">
        <f t="shared" si="4"/>
        <v>54</v>
      </c>
      <c r="K22" s="22"/>
      <c r="L22" s="22" t="e">
        <f t="shared" si="3"/>
        <v>#VALUE!</v>
      </c>
      <c r="M22" s="22"/>
      <c r="N22" s="26"/>
      <c r="O22" s="26"/>
      <c r="P22" s="26"/>
      <c r="Q22" s="43"/>
      <c r="R22" s="28"/>
      <c r="U22"/>
      <c r="W22" s="40"/>
    </row>
    <row r="23" spans="2:23" ht="14.65" thickBot="1" x14ac:dyDescent="0.5">
      <c r="B23" s="11"/>
      <c r="C23" s="82"/>
      <c r="D23" s="8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3"/>
      <c r="U23"/>
      <c r="W23" s="40"/>
    </row>
    <row r="24" spans="2:23" ht="14.65" thickBot="1" x14ac:dyDescent="0.5">
      <c r="B24" s="14" t="s">
        <v>23</v>
      </c>
      <c r="C24" s="15" t="s">
        <v>24</v>
      </c>
      <c r="D24" s="15" t="str">
        <f t="shared" ref="D24:J24" si="5">D12</f>
        <v>Price</v>
      </c>
      <c r="E24" s="15" t="s">
        <v>13</v>
      </c>
      <c r="F24" s="15" t="str">
        <f t="shared" si="5"/>
        <v>Intrinsic</v>
      </c>
      <c r="G24" s="15" t="str">
        <f t="shared" si="5"/>
        <v>Extrinic</v>
      </c>
      <c r="H24" s="15" t="str">
        <f t="shared" si="5"/>
        <v>BS</v>
      </c>
      <c r="I24" s="15" t="s">
        <v>29</v>
      </c>
      <c r="J24" s="2" t="str">
        <f t="shared" si="5"/>
        <v>Strike</v>
      </c>
      <c r="K24" s="14"/>
      <c r="L24" s="15"/>
      <c r="M24" s="15"/>
      <c r="N24" s="15"/>
      <c r="O24" s="15"/>
      <c r="P24" s="15"/>
      <c r="Q24" s="15"/>
      <c r="R24" s="16"/>
      <c r="U24"/>
      <c r="V24" s="1" t="s">
        <v>54</v>
      </c>
      <c r="W24" s="22" t="e">
        <f>MAX(L25:L34)</f>
        <v>#VALUE!</v>
      </c>
    </row>
    <row r="25" spans="2:23" ht="14.25" x14ac:dyDescent="0.45">
      <c r="B25" s="17" t="s">
        <v>41</v>
      </c>
      <c r="C25" s="44" t="str">
        <f>RTD("rit2.rtd",,B25,"POSITION")</f>
        <v>RTM1P45|POSITION</v>
      </c>
      <c r="D25" s="18">
        <f>IF($B$3=1,AVERAGE(RTD("rit2.rtd",,B25,"BID"), RTD("rit2.rtd",,B25,"ASK")), 0)</f>
        <v>0</v>
      </c>
      <c r="E25" s="18">
        <f>IFERROR(calculateDelta(J25,$B$23,$J$6,$J$10,$G$3,$C$6,$I$3), 0)</f>
        <v>0</v>
      </c>
      <c r="F25" s="18">
        <f t="shared" ref="F25:F34" si="6">IF($B$3=1,MAX(0, J25-$J$10),0)</f>
        <v>0</v>
      </c>
      <c r="G25" s="18">
        <f t="shared" ref="G25:G34" si="7">IF($B$3=1,D25-F25,0)</f>
        <v>0</v>
      </c>
      <c r="H25" s="18">
        <f>IFERROR(calculateBsPrice($J25,$B$23,$J$6,$J$10,$G$3,$C$6,$I$3), 0)</f>
        <v>0</v>
      </c>
      <c r="I25" s="18">
        <f t="shared" ref="I25:I34" si="8">D25-H25</f>
        <v>0</v>
      </c>
      <c r="J25" s="19">
        <f t="shared" ref="J25:J34" si="9">J13</f>
        <v>45</v>
      </c>
      <c r="K25" s="18"/>
      <c r="L25" s="22" t="e">
        <f t="shared" ref="L25:L34" si="10">CalculateVega(J25,$J$6,$J$10,$G$3,$C$6,$I$3)</f>
        <v>#VALUE!</v>
      </c>
      <c r="M25" s="22"/>
      <c r="N25" s="18"/>
      <c r="O25" s="18"/>
      <c r="P25" s="18"/>
      <c r="Q25" s="44"/>
      <c r="R25" s="20"/>
      <c r="U25"/>
      <c r="W25" s="40"/>
    </row>
    <row r="26" spans="2:23" ht="14.25" x14ac:dyDescent="0.45">
      <c r="B26" s="21" t="s">
        <v>42</v>
      </c>
      <c r="C26" s="45" t="str">
        <f>RTD("rit2.rtd",,B26,"POSITION")</f>
        <v>RTM1P46|POSITION</v>
      </c>
      <c r="D26" s="22">
        <f>IF($B$3=1,AVERAGE(RTD("rit2.rtd",,B26,"BID"), RTD("rit2.rtd",,B26,"ASK")), 0)</f>
        <v>0</v>
      </c>
      <c r="E26" s="22">
        <f>IFERROR(calculateDelta(J26,$B$23,$J$6,$J$10,$G$3,$C$6,$I$3), 0)</f>
        <v>0</v>
      </c>
      <c r="F26" s="22">
        <f t="shared" si="6"/>
        <v>0</v>
      </c>
      <c r="G26" s="22">
        <f t="shared" si="7"/>
        <v>0</v>
      </c>
      <c r="H26" s="22">
        <f>IFERROR(calculateBsPrice($J26,$B$23,$J$6,$J$10,$G$3,$C$6,$I$3), 0)</f>
        <v>0</v>
      </c>
      <c r="I26" s="22">
        <f t="shared" si="8"/>
        <v>0</v>
      </c>
      <c r="J26" s="23">
        <f t="shared" si="9"/>
        <v>46</v>
      </c>
      <c r="K26" s="22"/>
      <c r="L26" s="22" t="e">
        <f t="shared" si="10"/>
        <v>#VALUE!</v>
      </c>
      <c r="M26" s="22"/>
      <c r="N26" s="22"/>
      <c r="O26" s="22"/>
      <c r="P26" s="22"/>
      <c r="Q26" s="45"/>
      <c r="R26" s="24"/>
      <c r="U26"/>
      <c r="V26" s="1" t="s">
        <v>73</v>
      </c>
      <c r="W26" s="22" t="e">
        <f>INDEX(B25:B34,MATCH(W24,L25:L34,0))</f>
        <v>#VALUE!</v>
      </c>
    </row>
    <row r="27" spans="2:23" ht="14.25" x14ac:dyDescent="0.45">
      <c r="B27" s="21" t="s">
        <v>43</v>
      </c>
      <c r="C27" s="45" t="str">
        <f>RTD("rit2.rtd",,B27,"POSITION")</f>
        <v>RTM1P47|POSITION</v>
      </c>
      <c r="D27" s="22">
        <f>IF($B$3=1,AVERAGE(RTD("rit2.rtd",,B27,"BID"), RTD("rit2.rtd",,B27,"ASK")), 0)</f>
        <v>0</v>
      </c>
      <c r="E27" s="22">
        <f>IFERROR(calculateDelta(J27,$B$23,$J$6,$J$10,$G$3,$C$6,$I$3), 0)</f>
        <v>0</v>
      </c>
      <c r="F27" s="22">
        <f t="shared" si="6"/>
        <v>0</v>
      </c>
      <c r="G27" s="22">
        <f t="shared" si="7"/>
        <v>0</v>
      </c>
      <c r="H27" s="22">
        <f>IFERROR(calculateBsPrice($J27,$B$23,$J$6,$J$10,$G$3,$C$6,$I$3), 0)</f>
        <v>0</v>
      </c>
      <c r="I27" s="22">
        <f t="shared" si="8"/>
        <v>0</v>
      </c>
      <c r="J27" s="23">
        <f t="shared" si="9"/>
        <v>47</v>
      </c>
      <c r="K27" s="22"/>
      <c r="L27" s="22" t="e">
        <f t="shared" si="10"/>
        <v>#VALUE!</v>
      </c>
      <c r="M27" s="22"/>
      <c r="N27" s="22"/>
      <c r="O27" s="22"/>
      <c r="P27" s="22"/>
      <c r="Q27" s="45"/>
      <c r="R27" s="24"/>
      <c r="U27"/>
      <c r="W27" s="22"/>
    </row>
    <row r="28" spans="2:23" ht="14.25" x14ac:dyDescent="0.45">
      <c r="B28" s="21" t="s">
        <v>44</v>
      </c>
      <c r="C28" s="45" t="str">
        <f>RTD("rit2.rtd",,B28,"POSITION")</f>
        <v>RTM1P48|POSITION</v>
      </c>
      <c r="D28" s="22">
        <f>IF($B$3=1,AVERAGE(RTD("rit2.rtd",,B28,"BID"), RTD("rit2.rtd",,B28,"ASK")), 0)</f>
        <v>0</v>
      </c>
      <c r="E28" s="22">
        <f>IFERROR(calculateDelta(J28,$B$23,$J$6,$J$10,$G$3,$C$6,$I$3), 0)</f>
        <v>0</v>
      </c>
      <c r="F28" s="22">
        <f t="shared" si="6"/>
        <v>0</v>
      </c>
      <c r="G28" s="22">
        <f t="shared" si="7"/>
        <v>0</v>
      </c>
      <c r="H28" s="22">
        <f>IFERROR(calculateBsPrice($J28,$B$23,$J$6,$J$10,$G$3,$C$6,$I$3), 0)</f>
        <v>0</v>
      </c>
      <c r="I28" s="22">
        <f t="shared" si="8"/>
        <v>0</v>
      </c>
      <c r="J28" s="23">
        <f t="shared" si="9"/>
        <v>48</v>
      </c>
      <c r="K28" s="22"/>
      <c r="L28" s="22" t="e">
        <f t="shared" si="10"/>
        <v>#VALUE!</v>
      </c>
      <c r="M28" s="22"/>
      <c r="N28" s="22"/>
      <c r="O28" s="22"/>
      <c r="P28" s="22"/>
      <c r="Q28" s="45"/>
      <c r="R28" s="24"/>
      <c r="U28"/>
    </row>
    <row r="29" spans="2:23" ht="14.25" x14ac:dyDescent="0.45">
      <c r="B29" s="21" t="s">
        <v>45</v>
      </c>
      <c r="C29" s="45" t="str">
        <f>RTD("rit2.rtd",,B29,"POSITION")</f>
        <v>RTM1P49|POSITION</v>
      </c>
      <c r="D29" s="22">
        <f>IF($B$3=1,AVERAGE(RTD("rit2.rtd",,B29,"BID"), RTD("rit2.rtd",,B29,"ASK")), 0)</f>
        <v>0</v>
      </c>
      <c r="E29" s="22">
        <f>IFERROR(calculateDelta(J29,$B$23,$J$6,$J$10,$G$3,$C$6,$I$3), 0)</f>
        <v>0</v>
      </c>
      <c r="F29" s="22">
        <f t="shared" si="6"/>
        <v>0</v>
      </c>
      <c r="G29" s="22">
        <f t="shared" si="7"/>
        <v>0</v>
      </c>
      <c r="H29" s="22">
        <f>IFERROR(calculateBsPrice($J29,$B$23,$J$6,$J$10,$G$3,$C$6,$I$3), 0)</f>
        <v>0</v>
      </c>
      <c r="I29" s="22">
        <f t="shared" si="8"/>
        <v>0</v>
      </c>
      <c r="J29" s="23">
        <f t="shared" si="9"/>
        <v>49</v>
      </c>
      <c r="K29" s="22"/>
      <c r="L29" s="22" t="e">
        <f t="shared" si="10"/>
        <v>#VALUE!</v>
      </c>
      <c r="M29" s="22"/>
      <c r="N29" s="22"/>
      <c r="O29" s="22"/>
      <c r="P29" s="22"/>
      <c r="Q29" s="45"/>
      <c r="R29" s="24"/>
      <c r="U29"/>
    </row>
    <row r="30" spans="2:23" ht="14.25" x14ac:dyDescent="0.45">
      <c r="B30" s="21" t="s">
        <v>46</v>
      </c>
      <c r="C30" s="45" t="str">
        <f>RTD("rit2.rtd",,B30,"POSITION")</f>
        <v>RTM1P50|POSITION</v>
      </c>
      <c r="D30" s="22">
        <f>IF($B$3=1,AVERAGE(RTD("rit2.rtd",,B30,"BID"), RTD("rit2.rtd",,B30,"ASK")), 0)</f>
        <v>0</v>
      </c>
      <c r="E30" s="22">
        <f>IFERROR(calculateDelta(J30,$B$23,$J$6,$J$10,$G$3,$C$6,$I$3), 0)</f>
        <v>0</v>
      </c>
      <c r="F30" s="22">
        <f t="shared" si="6"/>
        <v>0</v>
      </c>
      <c r="G30" s="22">
        <f t="shared" si="7"/>
        <v>0</v>
      </c>
      <c r="H30" s="22">
        <f>IFERROR(calculateBsPrice($J30,$B$23,$J$6,$J$10,$G$3,$C$6,$I$3), 0)</f>
        <v>0</v>
      </c>
      <c r="I30" s="22">
        <f t="shared" si="8"/>
        <v>0</v>
      </c>
      <c r="J30" s="23">
        <f t="shared" si="9"/>
        <v>50</v>
      </c>
      <c r="K30" s="22"/>
      <c r="L30" s="22" t="e">
        <f t="shared" si="10"/>
        <v>#VALUE!</v>
      </c>
      <c r="M30" s="22"/>
      <c r="N30" s="22"/>
      <c r="O30" s="22"/>
      <c r="P30" s="22"/>
      <c r="Q30" s="45"/>
      <c r="R30" s="24"/>
      <c r="U30"/>
    </row>
    <row r="31" spans="2:23" ht="14.25" x14ac:dyDescent="0.45">
      <c r="B31" s="21" t="s">
        <v>47</v>
      </c>
      <c r="C31" s="45" t="str">
        <f>RTD("rit2.rtd",,B31,"POSITION")</f>
        <v>RTM1P51|POSITION</v>
      </c>
      <c r="D31" s="22">
        <f>IF($B$3=1,AVERAGE(RTD("rit2.rtd",,B31,"BID"), RTD("rit2.rtd",,B31,"ASK")), 0)</f>
        <v>0</v>
      </c>
      <c r="E31" s="22">
        <f>IFERROR(calculateDelta(J31,$B$23,$J$6,$J$10,$G$3,$C$6,$I$3), 0)</f>
        <v>0</v>
      </c>
      <c r="F31" s="22">
        <f t="shared" si="6"/>
        <v>0</v>
      </c>
      <c r="G31" s="22">
        <f t="shared" si="7"/>
        <v>0</v>
      </c>
      <c r="H31" s="22">
        <f>IFERROR(calculateBsPrice($J31,$B$23,$J$6,$J$10,$G$3,$C$6,$I$3), 0)</f>
        <v>0</v>
      </c>
      <c r="I31" s="22">
        <f t="shared" si="8"/>
        <v>0</v>
      </c>
      <c r="J31" s="23">
        <f t="shared" si="9"/>
        <v>51</v>
      </c>
      <c r="K31" s="22"/>
      <c r="L31" s="22" t="e">
        <f t="shared" si="10"/>
        <v>#VALUE!</v>
      </c>
      <c r="M31" s="22"/>
      <c r="N31" s="22"/>
      <c r="O31" s="22"/>
      <c r="P31" s="22"/>
      <c r="Q31" s="45"/>
      <c r="R31" s="24"/>
      <c r="U31"/>
    </row>
    <row r="32" spans="2:23" ht="14.25" x14ac:dyDescent="0.45">
      <c r="B32" s="21" t="s">
        <v>48</v>
      </c>
      <c r="C32" s="45" t="str">
        <f>RTD("rit2.rtd",,B32,"POSITION")</f>
        <v>RTM1P52|POSITION</v>
      </c>
      <c r="D32" s="22">
        <f>IF($B$3=1,AVERAGE(RTD("rit2.rtd",,B32,"BID"), RTD("rit2.rtd",,B32,"ASK")), 0)</f>
        <v>0</v>
      </c>
      <c r="E32" s="22">
        <f>IFERROR(calculateDelta(J32,$B$23,$J$6,$J$10,$G$3,$C$6,$I$3), 0)</f>
        <v>0</v>
      </c>
      <c r="F32" s="22">
        <f t="shared" si="6"/>
        <v>0</v>
      </c>
      <c r="G32" s="22">
        <f t="shared" si="7"/>
        <v>0</v>
      </c>
      <c r="H32" s="22">
        <f>IFERROR(calculateBsPrice($J32,$B$23,$J$6,$J$10,$G$3,$C$6,$I$3), 0)</f>
        <v>0</v>
      </c>
      <c r="I32" s="22">
        <f t="shared" si="8"/>
        <v>0</v>
      </c>
      <c r="J32" s="23">
        <f t="shared" si="9"/>
        <v>52</v>
      </c>
      <c r="K32" s="22"/>
      <c r="L32" s="22" t="e">
        <f t="shared" si="10"/>
        <v>#VALUE!</v>
      </c>
      <c r="M32" s="22"/>
      <c r="N32" s="22"/>
      <c r="O32" s="22"/>
      <c r="P32" s="22"/>
      <c r="Q32" s="45"/>
      <c r="R32" s="24"/>
      <c r="U32"/>
    </row>
    <row r="33" spans="2:21" ht="14.25" x14ac:dyDescent="0.45">
      <c r="B33" s="21" t="s">
        <v>49</v>
      </c>
      <c r="C33" s="45" t="str">
        <f>RTD("rit2.rtd",,B33,"POSITION")</f>
        <v>RTM1P53|POSITION</v>
      </c>
      <c r="D33" s="22">
        <f>IF($B$3=1,AVERAGE(RTD("rit2.rtd",,B33,"BID"), RTD("rit2.rtd",,B33,"ASK")), 0)</f>
        <v>0</v>
      </c>
      <c r="E33" s="22">
        <f>IFERROR(calculateDelta(J33,$B$23,$J$6,$J$10,$G$3,$C$6,$I$3), 0)</f>
        <v>0</v>
      </c>
      <c r="F33" s="22">
        <f t="shared" si="6"/>
        <v>0</v>
      </c>
      <c r="G33" s="22">
        <f t="shared" si="7"/>
        <v>0</v>
      </c>
      <c r="H33" s="22">
        <f>IFERROR(calculateBsPrice($J33,$B$23,$J$6,$J$10,$G$3,$C$6,$I$3), 0)</f>
        <v>0</v>
      </c>
      <c r="I33" s="22">
        <f t="shared" si="8"/>
        <v>0</v>
      </c>
      <c r="J33" s="23">
        <f t="shared" si="9"/>
        <v>53</v>
      </c>
      <c r="K33" s="22"/>
      <c r="L33" s="22" t="e">
        <f t="shared" si="10"/>
        <v>#VALUE!</v>
      </c>
      <c r="M33" s="22"/>
      <c r="N33" s="22"/>
      <c r="O33" s="22"/>
      <c r="P33" s="22"/>
      <c r="Q33" s="45"/>
      <c r="R33" s="24"/>
      <c r="U33"/>
    </row>
    <row r="34" spans="2:21" ht="13.5" thickBot="1" x14ac:dyDescent="0.45">
      <c r="B34" s="25" t="s">
        <v>50</v>
      </c>
      <c r="C34" s="43" t="str">
        <f>RTD("rit2.rtd",,B34,"POSITION")</f>
        <v>RTM1P54|POSITION</v>
      </c>
      <c r="D34" s="26">
        <f>IF($B$3=1,AVERAGE(RTD("rit2.rtd",,B34,"BID"), RTD("rit2.rtd",,B34,"ASK")), 0)</f>
        <v>0</v>
      </c>
      <c r="E34" s="26">
        <f>IFERROR(calculateDelta(J34,$B$23,$J$6,$J$10,$G$3,$C$6,$I$3), 0)</f>
        <v>0</v>
      </c>
      <c r="F34" s="26">
        <f t="shared" si="6"/>
        <v>0</v>
      </c>
      <c r="G34" s="26">
        <f t="shared" si="7"/>
        <v>0</v>
      </c>
      <c r="H34" s="26">
        <f>IFERROR(calculateBsPrice($J34,$B$23,$J$6,$J$10,$G$3,$C$6,$I$3), 0)</f>
        <v>0</v>
      </c>
      <c r="I34" s="26">
        <f t="shared" si="8"/>
        <v>0</v>
      </c>
      <c r="J34" s="27">
        <f t="shared" si="9"/>
        <v>54</v>
      </c>
      <c r="K34" s="26"/>
      <c r="L34" s="26" t="e">
        <f t="shared" si="10"/>
        <v>#VALUE!</v>
      </c>
      <c r="M34" s="26"/>
      <c r="N34" s="26"/>
      <c r="O34" s="26"/>
      <c r="P34" s="26"/>
      <c r="Q34" s="43"/>
      <c r="R34" s="28"/>
    </row>
    <row r="35" spans="2:21" ht="14.25" x14ac:dyDescent="0.45">
      <c r="U35"/>
    </row>
    <row r="36" spans="2:21" ht="14.25" x14ac:dyDescent="0.45">
      <c r="C36" s="1" t="s">
        <v>52</v>
      </c>
      <c r="U36"/>
    </row>
    <row r="37" spans="2:21" ht="14.25" x14ac:dyDescent="0.45">
      <c r="C37" s="1" t="s">
        <v>51</v>
      </c>
      <c r="D37" s="1" t="s">
        <v>53</v>
      </c>
      <c r="F37"/>
      <c r="G37"/>
      <c r="H37"/>
      <c r="I37"/>
      <c r="U37"/>
    </row>
    <row r="38" spans="2:21" ht="14.25" x14ac:dyDescent="0.45">
      <c r="B38" s="40" t="s">
        <v>54</v>
      </c>
      <c r="C38" s="22">
        <f>MAX(I13:I22)</f>
        <v>0</v>
      </c>
      <c r="D38" s="22">
        <f>MAX(I25:I34)</f>
        <v>0</v>
      </c>
      <c r="F38"/>
      <c r="G38"/>
      <c r="H38"/>
      <c r="I38"/>
      <c r="K38" s="40"/>
      <c r="L38" s="22"/>
      <c r="M38" s="22"/>
      <c r="N38"/>
      <c r="U38"/>
    </row>
    <row r="39" spans="2:21" ht="14.25" x14ac:dyDescent="0.45">
      <c r="B39" s="40" t="s">
        <v>55</v>
      </c>
      <c r="C39" s="22">
        <f>MIN(I13:I22)</f>
        <v>0</v>
      </c>
      <c r="D39" s="22">
        <f>MIN(I25:I34)</f>
        <v>0</v>
      </c>
      <c r="F39"/>
      <c r="G39"/>
      <c r="H39"/>
      <c r="I39"/>
      <c r="K39" s="40"/>
      <c r="L39" s="22"/>
      <c r="M39" s="22"/>
      <c r="N39"/>
    </row>
    <row r="40" spans="2:21" ht="14.25" x14ac:dyDescent="0.45">
      <c r="B40" s="40" t="s">
        <v>29</v>
      </c>
      <c r="C40" s="22">
        <f>getAbsBiggest(C38,C39)</f>
        <v>0</v>
      </c>
      <c r="D40" s="22">
        <f>getAbsBiggest(D38,D39)</f>
        <v>0</v>
      </c>
      <c r="F40"/>
      <c r="G40"/>
      <c r="H40"/>
      <c r="I40"/>
      <c r="K40" s="40"/>
      <c r="L40" s="22"/>
      <c r="M40" s="22"/>
      <c r="N40"/>
    </row>
    <row r="41" spans="2:21" ht="14.25" x14ac:dyDescent="0.45">
      <c r="B41" s="40" t="s">
        <v>56</v>
      </c>
      <c r="C41" s="22">
        <f>IF(C40=C38,C39,C38)</f>
        <v>0</v>
      </c>
      <c r="D41" s="22">
        <f>IF(D40=D38,D39,D38)</f>
        <v>0</v>
      </c>
      <c r="F41"/>
      <c r="G41"/>
      <c r="H41"/>
      <c r="I41"/>
      <c r="K41" s="40"/>
      <c r="L41" s="22"/>
      <c r="M41" s="22"/>
      <c r="N41"/>
    </row>
    <row r="42" spans="2:21" ht="14.25" x14ac:dyDescent="0.45">
      <c r="B42" s="40" t="s">
        <v>57</v>
      </c>
      <c r="C42" s="40" t="str">
        <f>INDEX(B13:B22,MATCH(C40,I13:I22,0))</f>
        <v>RTM1C45</v>
      </c>
      <c r="D42" s="40" t="str">
        <f>INDEX(B25:B34,MATCH(D40,I25:I34,0))</f>
        <v>RTM1P45</v>
      </c>
      <c r="F42"/>
      <c r="G42"/>
      <c r="H42"/>
      <c r="I42"/>
      <c r="K42" s="40"/>
      <c r="L42" s="40"/>
      <c r="M42" s="40"/>
    </row>
    <row r="43" spans="2:21" ht="14.25" x14ac:dyDescent="0.45">
      <c r="B43" s="40" t="s">
        <v>8</v>
      </c>
      <c r="C43" s="40" t="str">
        <f>B13</f>
        <v>RTM1C45</v>
      </c>
      <c r="D43" s="40" t="str">
        <f>B34</f>
        <v>RTM1P54</v>
      </c>
      <c r="F43"/>
      <c r="G43"/>
      <c r="H43"/>
      <c r="I43"/>
      <c r="K43" s="40"/>
      <c r="L43" s="40"/>
      <c r="M43" s="40"/>
    </row>
    <row r="44" spans="2:21" ht="14.25" x14ac:dyDescent="0.45">
      <c r="B44" s="40" t="s">
        <v>58</v>
      </c>
      <c r="C44" s="40" t="str">
        <f>INDEX(B13:B22,MATCH(C41,I13:I22,0))</f>
        <v>RTM1C45</v>
      </c>
      <c r="D44" s="40" t="str">
        <f>INDEX(B25:B34,MATCH(D41,I25:I34,0))</f>
        <v>RTM1P45</v>
      </c>
      <c r="F44"/>
      <c r="G44"/>
      <c r="H44"/>
      <c r="I44"/>
      <c r="K44" s="40"/>
      <c r="L44" s="40"/>
      <c r="M44" s="40"/>
    </row>
    <row r="45" spans="2:21" ht="14.25" x14ac:dyDescent="0.45">
      <c r="B45" s="1" t="s">
        <v>74</v>
      </c>
      <c r="C45" s="1" t="str">
        <f>INDEX(B25:B34,MATCH(IF(D38&gt;0,D38,D39),I25:I34,0))</f>
        <v>RTM1P45</v>
      </c>
      <c r="D45" s="1" t="str">
        <f>INDEX(B13:B22,MATCH(IF(C38&gt;0,C38,C39),I13:I22,0))</f>
        <v>RTM1C45</v>
      </c>
      <c r="F45"/>
      <c r="G45"/>
      <c r="H45"/>
      <c r="I45"/>
      <c r="K45" s="40"/>
      <c r="L45" s="40"/>
      <c r="M45" s="40"/>
    </row>
    <row r="46" spans="2:21" ht="14.25" x14ac:dyDescent="0.45">
      <c r="B46" s="1" t="s">
        <v>75</v>
      </c>
      <c r="C46" s="1">
        <f>IF(C40&gt;0,-1, 1)</f>
        <v>1</v>
      </c>
      <c r="F46"/>
      <c r="G46"/>
      <c r="H46"/>
      <c r="I46"/>
    </row>
    <row r="47" spans="2:21" ht="14.25" x14ac:dyDescent="0.45">
      <c r="F47"/>
      <c r="G47"/>
      <c r="H47"/>
      <c r="I47"/>
    </row>
    <row r="48" spans="2:21" ht="14.25" x14ac:dyDescent="0.45">
      <c r="F48"/>
      <c r="G48"/>
      <c r="H48"/>
      <c r="I48"/>
    </row>
    <row r="49" spans="6:9" ht="14.25" x14ac:dyDescent="0.45">
      <c r="F49"/>
      <c r="G49"/>
      <c r="H49"/>
      <c r="I49"/>
    </row>
    <row r="50" spans="6:9" ht="14.25" x14ac:dyDescent="0.45">
      <c r="F50"/>
      <c r="G50"/>
      <c r="H50"/>
      <c r="I50"/>
    </row>
    <row r="51" spans="6:9" ht="14.25" x14ac:dyDescent="0.45">
      <c r="F51"/>
      <c r="G51"/>
      <c r="H51"/>
      <c r="I51"/>
    </row>
    <row r="52" spans="6:9" ht="14.25" x14ac:dyDescent="0.45">
      <c r="F52"/>
      <c r="G52"/>
      <c r="H52"/>
      <c r="I52"/>
    </row>
    <row r="53" spans="6:9" ht="14.25" x14ac:dyDescent="0.45">
      <c r="F53"/>
      <c r="G53"/>
      <c r="H53"/>
      <c r="I53"/>
    </row>
    <row r="54" spans="6:9" ht="14.25" x14ac:dyDescent="0.45">
      <c r="F54"/>
      <c r="G54"/>
      <c r="H54"/>
      <c r="I54"/>
    </row>
    <row r="55" spans="6:9" ht="14.25" x14ac:dyDescent="0.45">
      <c r="F55"/>
      <c r="G55"/>
      <c r="H55"/>
      <c r="I55"/>
    </row>
  </sheetData>
  <mergeCells count="2">
    <mergeCell ref="L5:M5"/>
    <mergeCell ref="H5:I6"/>
  </mergeCells>
  <conditionalFormatting sqref="I13:I22 I25:I34 K25:K34">
    <cfRule type="cellIs" dxfId="20" priority="24" operator="lessThan">
      <formula>-0.1</formula>
    </cfRule>
    <cfRule type="cellIs" dxfId="19" priority="25" operator="greaterThan">
      <formula>0.1</formula>
    </cfRule>
  </conditionalFormatting>
  <conditionalFormatting sqref="C13:C22 C25:C34 Q13:Q22 Q25:Q34">
    <cfRule type="cellIs" dxfId="18" priority="22" operator="lessThan">
      <formula>0</formula>
    </cfRule>
    <cfRule type="cellIs" dxfId="17" priority="23" operator="greaterThan">
      <formula>0</formula>
    </cfRule>
  </conditionalFormatting>
  <conditionalFormatting sqref="J9">
    <cfRule type="cellIs" dxfId="16" priority="20" operator="lessThan">
      <formula>0</formula>
    </cfRule>
    <cfRule type="cellIs" dxfId="15" priority="21" operator="greaterThan">
      <formula>0</formula>
    </cfRule>
  </conditionalFormatting>
  <conditionalFormatting sqref="I13:I22">
    <cfRule type="top10" dxfId="14" priority="17" bottom="1" rank="1"/>
    <cfRule type="top10" dxfId="13" priority="18" rank="1"/>
  </conditionalFormatting>
  <conditionalFormatting sqref="I25:I34">
    <cfRule type="top10" dxfId="12" priority="15" bottom="1" rank="1"/>
    <cfRule type="top10" dxfId="11" priority="16" rank="1"/>
  </conditionalFormatting>
  <conditionalFormatting sqref="K25:K34">
    <cfRule type="top10" dxfId="10" priority="11" bottom="1" rank="1"/>
    <cfRule type="top10" dxfId="9" priority="12" rank="1"/>
  </conditionalFormatting>
  <conditionalFormatting sqref="B9:R9 J5:M6">
    <cfRule type="expression" dxfId="8" priority="10">
      <formula>$E$3&lt;15</formula>
    </cfRule>
  </conditionalFormatting>
  <conditionalFormatting sqref="L40:M41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C40:D41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W15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W27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eriodOneNormalCallVertical">
                <anchor moveWithCells="1" sizeWithCells="1">
                  <from>
                    <xdr:col>4</xdr:col>
                    <xdr:colOff>704850</xdr:colOff>
                    <xdr:row>35</xdr:row>
                    <xdr:rowOff>57150</xdr:rowOff>
                  </from>
                  <to>
                    <xdr:col>6</xdr:col>
                    <xdr:colOff>161925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eriodOneNormalPutVertical">
                <anchor moveWithCells="1" sizeWithCells="1">
                  <from>
                    <xdr:col>6</xdr:col>
                    <xdr:colOff>361950</xdr:colOff>
                    <xdr:row>35</xdr:row>
                    <xdr:rowOff>57150</xdr:rowOff>
                  </from>
                  <to>
                    <xdr:col>7</xdr:col>
                    <xdr:colOff>676275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eriodOneRiskyCallVertical">
                <anchor moveWithCells="1" sizeWithCells="1">
                  <from>
                    <xdr:col>4</xdr:col>
                    <xdr:colOff>704850</xdr:colOff>
                    <xdr:row>38</xdr:row>
                    <xdr:rowOff>133350</xdr:rowOff>
                  </from>
                  <to>
                    <xdr:col>6</xdr:col>
                    <xdr:colOff>161925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eriodOneRiskyPutVertical">
                <anchor moveWithCells="1" sizeWithCells="1">
                  <from>
                    <xdr:col>6</xdr:col>
                    <xdr:colOff>361950</xdr:colOff>
                    <xdr:row>38</xdr:row>
                    <xdr:rowOff>133350</xdr:rowOff>
                  </from>
                  <to>
                    <xdr:col>7</xdr:col>
                    <xdr:colOff>676275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liquidateOptions">
                <anchor moveWithCells="1" sizeWithCells="1">
                  <from>
                    <xdr:col>4</xdr:col>
                    <xdr:colOff>700088</xdr:colOff>
                    <xdr:row>41</xdr:row>
                    <xdr:rowOff>123825</xdr:rowOff>
                  </from>
                  <to>
                    <xdr:col>6</xdr:col>
                    <xdr:colOff>100013</xdr:colOff>
                    <xdr:row>44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liquidateStocks">
                <anchor moveWithCells="1" sizeWithCells="1">
                  <from>
                    <xdr:col>6</xdr:col>
                    <xdr:colOff>333375</xdr:colOff>
                    <xdr:row>41</xdr:row>
                    <xdr:rowOff>157163</xdr:rowOff>
                  </from>
                  <to>
                    <xdr:col>7</xdr:col>
                    <xdr:colOff>647700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liquidateCalls">
                <anchor moveWithCells="1" sizeWithCells="1">
                  <from>
                    <xdr:col>23</xdr:col>
                    <xdr:colOff>19050</xdr:colOff>
                    <xdr:row>16</xdr:row>
                    <xdr:rowOff>47625</xdr:rowOff>
                  </from>
                  <to>
                    <xdr:col>24</xdr:col>
                    <xdr:colOff>333375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liquidatePuts">
                <anchor moveWithCells="1" sizeWithCells="1">
                  <from>
                    <xdr:col>23</xdr:col>
                    <xdr:colOff>85725</xdr:colOff>
                    <xdr:row>28</xdr:row>
                    <xdr:rowOff>9525</xdr:rowOff>
                  </from>
                  <to>
                    <xdr:col>24</xdr:col>
                    <xdr:colOff>400050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buystrangle">
                <anchor moveWithCells="1" sizeWithCells="1">
                  <from>
                    <xdr:col>20</xdr:col>
                    <xdr:colOff>690563</xdr:colOff>
                    <xdr:row>15</xdr:row>
                    <xdr:rowOff>119063</xdr:rowOff>
                  </from>
                  <to>
                    <xdr:col>22</xdr:col>
                    <xdr:colOff>633413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sellstrangle">
                <anchor moveWithCells="1" sizeWithCells="1">
                  <from>
                    <xdr:col>20</xdr:col>
                    <xdr:colOff>590550</xdr:colOff>
                    <xdr:row>27</xdr:row>
                    <xdr:rowOff>147638</xdr:rowOff>
                  </from>
                  <to>
                    <xdr:col>22</xdr:col>
                    <xdr:colOff>700088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radestrangle">
                <anchor moveWithCells="1" sizeWithCells="1">
                  <from>
                    <xdr:col>5</xdr:col>
                    <xdr:colOff>100013</xdr:colOff>
                    <xdr:row>45</xdr:row>
                    <xdr:rowOff>42863</xdr:rowOff>
                  </from>
                  <to>
                    <xdr:col>7</xdr:col>
                    <xdr:colOff>490538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S33"/>
  <sheetViews>
    <sheetView showGridLines="0" workbookViewId="0">
      <selection activeCell="B4" sqref="B4"/>
    </sheetView>
  </sheetViews>
  <sheetFormatPr defaultRowHeight="14.25" x14ac:dyDescent="0.45"/>
  <sheetData>
    <row r="1" spans="1:45" s="53" customFormat="1" x14ac:dyDescent="0.45">
      <c r="B1" s="54"/>
      <c r="C1" s="54"/>
      <c r="D1" s="55"/>
      <c r="E1" s="56"/>
      <c r="F1" s="55"/>
      <c r="G1" s="56"/>
      <c r="H1" s="56"/>
      <c r="I1" s="55"/>
      <c r="J1" s="55"/>
      <c r="K1" s="57"/>
      <c r="L1" s="56"/>
      <c r="M1" s="56"/>
      <c r="N1" s="58"/>
    </row>
    <row r="2" spans="1:45" s="59" customFormat="1" x14ac:dyDescent="0.45">
      <c r="F2" s="60" t="s">
        <v>59</v>
      </c>
      <c r="G2" s="61"/>
      <c r="H2" s="61"/>
      <c r="I2" s="62"/>
      <c r="J2" s="60" t="s">
        <v>60</v>
      </c>
      <c r="K2" s="61"/>
      <c r="L2" s="61"/>
      <c r="M2" s="61"/>
      <c r="N2" s="61"/>
      <c r="O2" s="62" t="e">
        <f>FIND("create error",O1)</f>
        <v>#VALUE!</v>
      </c>
      <c r="P2" s="60" t="s">
        <v>61</v>
      </c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 t="e">
        <f>FIND("create error",O1)</f>
        <v>#VALUE!</v>
      </c>
      <c r="AC2" s="61"/>
      <c r="AD2" s="61"/>
      <c r="AE2" s="61"/>
      <c r="AF2" s="61"/>
      <c r="AG2" s="61" t="e">
        <f>FIND("create error",T1)</f>
        <v>#VALUE!</v>
      </c>
      <c r="AH2" s="61" t="e">
        <f>FIND("create error",U1)</f>
        <v>#VALUE!</v>
      </c>
      <c r="AI2" s="61" t="e">
        <f>FIND("create error",V1)</f>
        <v>#VALUE!</v>
      </c>
      <c r="AJ2" s="61"/>
      <c r="AK2" s="63" t="s">
        <v>62</v>
      </c>
      <c r="AL2" s="62" t="e">
        <f>FIND("create error",Y1)</f>
        <v>#VALUE!</v>
      </c>
    </row>
    <row r="3" spans="1:45" s="59" customFormat="1" x14ac:dyDescent="0.45">
      <c r="A3" s="64">
        <v>1</v>
      </c>
      <c r="B3" s="65" t="str">
        <f>RTD("rit2.rtd",,"News",,A3)</f>
        <v>NEWS|1</v>
      </c>
      <c r="C3" s="64"/>
      <c r="D3" s="64"/>
      <c r="F3" s="66" t="e">
        <f>FIND("percentage is ",B3)</f>
        <v>#VALUE!</v>
      </c>
      <c r="G3" s="59" t="e">
        <f t="shared" ref="G3:G28" si="0">IF(F3&gt;0,FIND("%",B3))</f>
        <v>#VALUE!</v>
      </c>
      <c r="H3" s="59" t="e">
        <f t="shared" ref="H3:H28" si="1">FIND(" ",B3,F3+15)</f>
        <v>#VALUE!</v>
      </c>
      <c r="I3" s="67">
        <f>+IFERROR(MID(B3,F3+14,2),I2)</f>
        <v>0</v>
      </c>
      <c r="J3" s="68" t="e">
        <f>FIND("heat is",B3)</f>
        <v>#VALUE!</v>
      </c>
      <c r="K3" s="59">
        <f t="shared" ref="K3:K28" si="2">IFERROR(IF(J3&gt;0,FIND(",000",B3)),0)</f>
        <v>0</v>
      </c>
      <c r="L3" s="59" t="e">
        <f>MID(B3,K3-3,8)</f>
        <v>#VALUE!</v>
      </c>
      <c r="M3" s="59" t="e">
        <f t="shared" ref="M3:M28" si="3">FIND(" ",L3)</f>
        <v>#VALUE!</v>
      </c>
      <c r="N3" s="59" t="e">
        <f t="shared" ref="N3:N28" si="4">VALUE(RIGHT(L3,LEN(L3)-M3))</f>
        <v>#VALUE!</v>
      </c>
      <c r="O3" s="67" t="e">
        <f t="shared" ref="O3:O28" si="5">IFERROR(N3,O2)</f>
        <v>#VALUE!</v>
      </c>
      <c r="P3" s="68" t="e">
        <f>FIND("volatility",B3,IFERROR(G3+1,0))</f>
        <v>#VALUE!</v>
      </c>
      <c r="Q3" s="59" t="e">
        <f t="shared" ref="Q3:Q28" si="6">FIND("%",B3,P3)</f>
        <v>#VALUE!</v>
      </c>
      <c r="R3" s="69" t="e">
        <f t="shared" ref="R3:R28" si="7">MID(B3,Q3-5,5)</f>
        <v>#VALUE!</v>
      </c>
      <c r="S3" s="70" t="e">
        <f t="shared" ref="S3:S28" si="8">MID(B3,Q3+1,15)</f>
        <v>#VALUE!</v>
      </c>
      <c r="T3" s="59" t="e">
        <f t="shared" ref="T3:T28" si="9">FIND("%",S3)</f>
        <v>#VALUE!</v>
      </c>
      <c r="U3" s="59" t="e">
        <f t="shared" ref="U3:U28" si="10">MID(S3,T3-4,4)</f>
        <v>#VALUE!</v>
      </c>
      <c r="V3" s="59" t="e">
        <f t="shared" ref="V3:V28" si="11">FIND(" ",U3)</f>
        <v>#VALUE!</v>
      </c>
      <c r="W3" s="59" t="e">
        <f t="shared" ref="W3:W28" si="12">VALUE(RIGHT(U3,LEN(U3)-V3))</f>
        <v>#VALUE!</v>
      </c>
      <c r="X3" s="59" t="e">
        <f t="shared" ref="X3:X28" si="13">FIND(" ",R3)</f>
        <v>#VALUE!</v>
      </c>
      <c r="Y3" s="59" t="e">
        <f t="shared" ref="Y3:Y28" si="14">VALUE(RIGHT(R3,LEN(R3)-X3))</f>
        <v>#VALUE!</v>
      </c>
      <c r="AA3" s="59" t="e">
        <f t="shared" ref="AA3:AA28" si="15">IFERROR((Y3+W3)/2,Y3)</f>
        <v>#VALUE!</v>
      </c>
      <c r="AB3" s="59" t="e">
        <f t="shared" ref="AB3:AB28" si="16">IFERROR(AA3,AB2)</f>
        <v>#VALUE!</v>
      </c>
      <c r="AD3" s="59" t="e">
        <f t="shared" ref="AD3:AD28" si="17">IF(W3&gt;0,W3,0)</f>
        <v>#VALUE!</v>
      </c>
      <c r="AE3" s="59" t="e">
        <f t="shared" ref="AE3:AE28" si="18">IF(W3&gt;0,Y3,W3)</f>
        <v>#VALUE!</v>
      </c>
      <c r="AF3" s="59" t="e">
        <f t="shared" ref="AF3:AF28" si="19">IFERROR(IF(W3&gt;0,1,0),IF(Y3&gt;0,2,0))</f>
        <v>#VALUE!</v>
      </c>
      <c r="AG3" s="59" t="e">
        <f t="shared" ref="AG3:AG28" si="20">IFERROR(AF3,AG2)</f>
        <v>#VALUE!</v>
      </c>
      <c r="AH3" s="59" t="e">
        <f t="shared" ref="AH3:AI18" si="21">IFERROR(AD3,AH2)</f>
        <v>#VALUE!</v>
      </c>
      <c r="AI3" s="59" t="e">
        <f t="shared" si="21"/>
        <v>#VALUE!</v>
      </c>
      <c r="AK3" s="59" t="e">
        <f t="shared" ref="AK3:AK28" si="22">IFERROR(IF(W3&gt;0,AK2),Y3)</f>
        <v>#VALUE!</v>
      </c>
      <c r="AL3" s="67" t="e">
        <f t="shared" ref="AL3:AL28" si="23">IFERROR(AK3,AL2)</f>
        <v>#VALUE!</v>
      </c>
      <c r="AO3" s="59" t="e">
        <f>300-RTD("rit2.rtd",,"TIMEREMAINING")</f>
        <v>#VALUE!</v>
      </c>
    </row>
    <row r="4" spans="1:45" s="59" customFormat="1" x14ac:dyDescent="0.45">
      <c r="A4" s="64">
        <v>2</v>
      </c>
      <c r="B4" s="65" t="str">
        <f>RTD("rit2.rtd",,"News",,A4)</f>
        <v>NEWS|2</v>
      </c>
      <c r="C4" s="64"/>
      <c r="D4" s="64"/>
      <c r="F4" s="66" t="e">
        <f>FIND("percentage is ",B4)</f>
        <v>#VALUE!</v>
      </c>
      <c r="G4" s="59" t="e">
        <f t="shared" si="0"/>
        <v>#VALUE!</v>
      </c>
      <c r="H4" s="59" t="e">
        <f t="shared" si="1"/>
        <v>#VALUE!</v>
      </c>
      <c r="I4" s="67">
        <f>+IFERROR(MID(B4,F4+14,2),I3)</f>
        <v>0</v>
      </c>
      <c r="J4" s="68" t="e">
        <f t="shared" ref="J4:J28" si="24">FIND("heat is",B4)</f>
        <v>#VALUE!</v>
      </c>
      <c r="K4" s="59">
        <f t="shared" si="2"/>
        <v>0</v>
      </c>
      <c r="L4" s="59" t="e">
        <f>MID(B4,K4-3,8)</f>
        <v>#VALUE!</v>
      </c>
      <c r="M4" s="59" t="e">
        <f t="shared" si="3"/>
        <v>#VALUE!</v>
      </c>
      <c r="N4" s="59" t="e">
        <f t="shared" si="4"/>
        <v>#VALUE!</v>
      </c>
      <c r="O4" s="67" t="e">
        <f t="shared" si="5"/>
        <v>#VALUE!</v>
      </c>
      <c r="P4" s="68" t="e">
        <f t="shared" ref="P4:P28" si="25">FIND("volatility",B4,IFERROR(G4+1,1))</f>
        <v>#VALUE!</v>
      </c>
      <c r="Q4" s="59" t="e">
        <f t="shared" si="6"/>
        <v>#VALUE!</v>
      </c>
      <c r="R4" s="69" t="e">
        <f t="shared" si="7"/>
        <v>#VALUE!</v>
      </c>
      <c r="S4" s="70" t="e">
        <f t="shared" si="8"/>
        <v>#VALUE!</v>
      </c>
      <c r="T4" s="59" t="e">
        <f t="shared" si="9"/>
        <v>#VALUE!</v>
      </c>
      <c r="U4" s="59" t="e">
        <f t="shared" si="10"/>
        <v>#VALUE!</v>
      </c>
      <c r="V4" s="59" t="e">
        <f t="shared" si="11"/>
        <v>#VALUE!</v>
      </c>
      <c r="W4" s="59" t="e">
        <f t="shared" si="12"/>
        <v>#VALUE!</v>
      </c>
      <c r="X4" s="59" t="e">
        <f t="shared" si="13"/>
        <v>#VALUE!</v>
      </c>
      <c r="Y4" s="59" t="e">
        <f t="shared" si="14"/>
        <v>#VALUE!</v>
      </c>
      <c r="AA4" s="59" t="e">
        <f t="shared" si="15"/>
        <v>#VALUE!</v>
      </c>
      <c r="AB4" s="59" t="e">
        <f t="shared" si="16"/>
        <v>#VALUE!</v>
      </c>
      <c r="AD4" s="59" t="e">
        <f t="shared" si="17"/>
        <v>#VALUE!</v>
      </c>
      <c r="AE4" s="59" t="e">
        <f t="shared" si="18"/>
        <v>#VALUE!</v>
      </c>
      <c r="AF4" s="59" t="e">
        <f t="shared" si="19"/>
        <v>#VALUE!</v>
      </c>
      <c r="AG4" s="59" t="e">
        <f t="shared" si="20"/>
        <v>#VALUE!</v>
      </c>
      <c r="AH4" s="59" t="e">
        <f t="shared" si="21"/>
        <v>#VALUE!</v>
      </c>
      <c r="AI4" s="59" t="e">
        <f t="shared" si="21"/>
        <v>#VALUE!</v>
      </c>
      <c r="AK4" s="59" t="e">
        <f t="shared" si="22"/>
        <v>#VALUE!</v>
      </c>
      <c r="AL4" s="67" t="e">
        <f t="shared" si="23"/>
        <v>#VALUE!</v>
      </c>
      <c r="AN4" s="59">
        <v>37</v>
      </c>
      <c r="AO4" s="59" t="e">
        <f>IF(AND(AO$3&lt;AN4,AO$3&gt;AN3),1,0)</f>
        <v>#VALUE!</v>
      </c>
      <c r="AP4" s="59" t="e">
        <f>IF(AO4=1,AL$28,0)</f>
        <v>#VALUE!</v>
      </c>
      <c r="AS4" s="59" t="e">
        <f t="shared" ref="AS4:AS5" si="26">IF(AO4=1,-AO$3+AN4,0)</f>
        <v>#VALUE!</v>
      </c>
    </row>
    <row r="5" spans="1:45" s="59" customFormat="1" x14ac:dyDescent="0.45">
      <c r="A5" s="64">
        <v>3</v>
      </c>
      <c r="B5" s="65" t="str">
        <f>RTD("rit2.rtd",,"News",,A5)</f>
        <v>NEWS|3</v>
      </c>
      <c r="C5" s="64"/>
      <c r="D5" s="64"/>
      <c r="F5" s="66" t="e">
        <f>FIND("percentage is ",B5)</f>
        <v>#VALUE!</v>
      </c>
      <c r="G5" s="59" t="e">
        <f t="shared" si="0"/>
        <v>#VALUE!</v>
      </c>
      <c r="H5" s="59" t="e">
        <f t="shared" si="1"/>
        <v>#VALUE!</v>
      </c>
      <c r="I5" s="67">
        <f t="shared" ref="I5:I28" si="27">+IFERROR(MID(B5,F5+15,2),I4)</f>
        <v>0</v>
      </c>
      <c r="J5" s="68" t="e">
        <f t="shared" si="24"/>
        <v>#VALUE!</v>
      </c>
      <c r="K5" s="59">
        <f t="shared" si="2"/>
        <v>0</v>
      </c>
      <c r="L5" s="59" t="e">
        <f t="shared" ref="L5:L28" si="28">MID(B5,K5-3,8)</f>
        <v>#VALUE!</v>
      </c>
      <c r="M5" s="59" t="e">
        <f t="shared" si="3"/>
        <v>#VALUE!</v>
      </c>
      <c r="N5" s="59" t="e">
        <f t="shared" si="4"/>
        <v>#VALUE!</v>
      </c>
      <c r="O5" s="67" t="e">
        <f t="shared" si="5"/>
        <v>#VALUE!</v>
      </c>
      <c r="P5" s="68" t="e">
        <f t="shared" si="25"/>
        <v>#VALUE!</v>
      </c>
      <c r="Q5" s="59" t="e">
        <f t="shared" si="6"/>
        <v>#VALUE!</v>
      </c>
      <c r="R5" s="69" t="e">
        <f t="shared" si="7"/>
        <v>#VALUE!</v>
      </c>
      <c r="S5" s="70" t="e">
        <f t="shared" si="8"/>
        <v>#VALUE!</v>
      </c>
      <c r="T5" s="59" t="e">
        <f t="shared" si="9"/>
        <v>#VALUE!</v>
      </c>
      <c r="U5" s="59" t="e">
        <f t="shared" si="10"/>
        <v>#VALUE!</v>
      </c>
      <c r="V5" s="59" t="e">
        <f t="shared" si="11"/>
        <v>#VALUE!</v>
      </c>
      <c r="W5" s="59" t="e">
        <f t="shared" si="12"/>
        <v>#VALUE!</v>
      </c>
      <c r="X5" s="59" t="e">
        <f t="shared" si="13"/>
        <v>#VALUE!</v>
      </c>
      <c r="Y5" s="59" t="e">
        <f t="shared" si="14"/>
        <v>#VALUE!</v>
      </c>
      <c r="AA5" s="59" t="e">
        <f t="shared" si="15"/>
        <v>#VALUE!</v>
      </c>
      <c r="AB5" s="59" t="e">
        <f t="shared" si="16"/>
        <v>#VALUE!</v>
      </c>
      <c r="AD5" s="59" t="e">
        <f t="shared" si="17"/>
        <v>#VALUE!</v>
      </c>
      <c r="AE5" s="59" t="e">
        <f t="shared" si="18"/>
        <v>#VALUE!</v>
      </c>
      <c r="AF5" s="59" t="e">
        <f t="shared" si="19"/>
        <v>#VALUE!</v>
      </c>
      <c r="AG5" s="59" t="e">
        <f t="shared" si="20"/>
        <v>#VALUE!</v>
      </c>
      <c r="AH5" s="59" t="e">
        <f t="shared" si="21"/>
        <v>#VALUE!</v>
      </c>
      <c r="AI5" s="59" t="e">
        <f t="shared" si="21"/>
        <v>#VALUE!</v>
      </c>
      <c r="AK5" s="59" t="e">
        <f t="shared" si="22"/>
        <v>#VALUE!</v>
      </c>
      <c r="AL5" s="67" t="e">
        <f t="shared" si="23"/>
        <v>#VALUE!</v>
      </c>
      <c r="AN5" s="59">
        <v>75</v>
      </c>
      <c r="AO5" s="59" t="e">
        <f>IF(AND(AO$3&lt;AN5,AO$3&gt;AN4),1,0)</f>
        <v>#VALUE!</v>
      </c>
      <c r="AP5" s="59" t="e">
        <f>AVERAGE(AQ5:AR5)</f>
        <v>#VALUE!</v>
      </c>
      <c r="AQ5" s="59" t="e">
        <f>IF(AO5=1,AI$28,0)</f>
        <v>#VALUE!</v>
      </c>
      <c r="AR5" s="59" t="e">
        <f>IF(AO5=1,AH$28,0)</f>
        <v>#VALUE!</v>
      </c>
      <c r="AS5" s="59" t="e">
        <f t="shared" si="26"/>
        <v>#VALUE!</v>
      </c>
    </row>
    <row r="6" spans="1:45" s="59" customFormat="1" x14ac:dyDescent="0.45">
      <c r="A6" s="64">
        <v>4</v>
      </c>
      <c r="B6" s="65" t="str">
        <f>RTD("rit2.rtd",,"News",,A6)</f>
        <v>NEWS|4</v>
      </c>
      <c r="C6" s="64"/>
      <c r="D6" s="64"/>
      <c r="F6" s="66" t="e">
        <f t="shared" ref="F6:F28" si="29">FIND("percentage is ",B6)</f>
        <v>#VALUE!</v>
      </c>
      <c r="G6" s="59" t="e">
        <f t="shared" si="0"/>
        <v>#VALUE!</v>
      </c>
      <c r="H6" s="59" t="e">
        <f t="shared" si="1"/>
        <v>#VALUE!</v>
      </c>
      <c r="I6" s="67">
        <f t="shared" si="27"/>
        <v>0</v>
      </c>
      <c r="J6" s="68" t="e">
        <f t="shared" si="24"/>
        <v>#VALUE!</v>
      </c>
      <c r="K6" s="59">
        <f t="shared" si="2"/>
        <v>0</v>
      </c>
      <c r="L6" s="59" t="e">
        <f t="shared" si="28"/>
        <v>#VALUE!</v>
      </c>
      <c r="M6" s="59" t="e">
        <f t="shared" si="3"/>
        <v>#VALUE!</v>
      </c>
      <c r="N6" s="59" t="e">
        <f t="shared" si="4"/>
        <v>#VALUE!</v>
      </c>
      <c r="O6" s="67" t="e">
        <f t="shared" si="5"/>
        <v>#VALUE!</v>
      </c>
      <c r="P6" s="68" t="e">
        <f t="shared" si="25"/>
        <v>#VALUE!</v>
      </c>
      <c r="Q6" s="59" t="e">
        <f t="shared" si="6"/>
        <v>#VALUE!</v>
      </c>
      <c r="R6" s="69" t="e">
        <f t="shared" si="7"/>
        <v>#VALUE!</v>
      </c>
      <c r="S6" s="70" t="e">
        <f t="shared" si="8"/>
        <v>#VALUE!</v>
      </c>
      <c r="T6" s="59" t="e">
        <f t="shared" si="9"/>
        <v>#VALUE!</v>
      </c>
      <c r="U6" s="59" t="e">
        <f t="shared" si="10"/>
        <v>#VALUE!</v>
      </c>
      <c r="V6" s="59" t="e">
        <f t="shared" si="11"/>
        <v>#VALUE!</v>
      </c>
      <c r="W6" s="59" t="e">
        <f t="shared" si="12"/>
        <v>#VALUE!</v>
      </c>
      <c r="X6" s="59" t="e">
        <f t="shared" si="13"/>
        <v>#VALUE!</v>
      </c>
      <c r="Y6" s="59" t="e">
        <f t="shared" si="14"/>
        <v>#VALUE!</v>
      </c>
      <c r="AA6" s="59" t="e">
        <f t="shared" si="15"/>
        <v>#VALUE!</v>
      </c>
      <c r="AB6" s="59" t="e">
        <f t="shared" si="16"/>
        <v>#VALUE!</v>
      </c>
      <c r="AD6" s="59" t="e">
        <f t="shared" si="17"/>
        <v>#VALUE!</v>
      </c>
      <c r="AE6" s="59" t="e">
        <f t="shared" si="18"/>
        <v>#VALUE!</v>
      </c>
      <c r="AF6" s="59" t="e">
        <f t="shared" si="19"/>
        <v>#VALUE!</v>
      </c>
      <c r="AG6" s="59" t="e">
        <f t="shared" si="20"/>
        <v>#VALUE!</v>
      </c>
      <c r="AH6" s="59" t="e">
        <f t="shared" si="21"/>
        <v>#VALUE!</v>
      </c>
      <c r="AI6" s="59" t="e">
        <f t="shared" si="21"/>
        <v>#VALUE!</v>
      </c>
      <c r="AK6" s="59" t="e">
        <f t="shared" si="22"/>
        <v>#VALUE!</v>
      </c>
      <c r="AL6" s="67" t="e">
        <f t="shared" si="23"/>
        <v>#VALUE!</v>
      </c>
      <c r="AN6" s="59">
        <v>112</v>
      </c>
      <c r="AO6" s="59" t="e">
        <f t="shared" ref="AO6:AO19" si="30">IF(AND(AO$3&lt;AN6,AO$3&gt;AN5),1,0)</f>
        <v>#VALUE!</v>
      </c>
      <c r="AP6" s="59" t="e">
        <f>IF(AO6=1,AL$28,0)</f>
        <v>#VALUE!</v>
      </c>
      <c r="AS6" s="59" t="e">
        <f>IF(AO6=1,-AO$3+AN6,0)</f>
        <v>#VALUE!</v>
      </c>
    </row>
    <row r="7" spans="1:45" s="59" customFormat="1" x14ac:dyDescent="0.45">
      <c r="A7" s="64">
        <f t="shared" ref="A7:A28" si="31">A6+1</f>
        <v>5</v>
      </c>
      <c r="B7" s="65" t="str">
        <f>RTD("rit2.rtd",,"News",,A7)</f>
        <v>NEWS|5</v>
      </c>
      <c r="C7" s="64"/>
      <c r="D7" s="64"/>
      <c r="F7" s="66" t="e">
        <f t="shared" si="29"/>
        <v>#VALUE!</v>
      </c>
      <c r="G7" s="59" t="e">
        <f t="shared" si="0"/>
        <v>#VALUE!</v>
      </c>
      <c r="H7" s="59" t="e">
        <f t="shared" si="1"/>
        <v>#VALUE!</v>
      </c>
      <c r="I7" s="67">
        <f t="shared" si="27"/>
        <v>0</v>
      </c>
      <c r="J7" s="68" t="e">
        <f t="shared" si="24"/>
        <v>#VALUE!</v>
      </c>
      <c r="K7" s="59">
        <f t="shared" si="2"/>
        <v>0</v>
      </c>
      <c r="L7" s="59" t="e">
        <f t="shared" si="28"/>
        <v>#VALUE!</v>
      </c>
      <c r="M7" s="59" t="e">
        <f t="shared" si="3"/>
        <v>#VALUE!</v>
      </c>
      <c r="N7" s="59" t="e">
        <f t="shared" si="4"/>
        <v>#VALUE!</v>
      </c>
      <c r="O7" s="67" t="e">
        <f t="shared" si="5"/>
        <v>#VALUE!</v>
      </c>
      <c r="P7" s="68" t="e">
        <f t="shared" si="25"/>
        <v>#VALUE!</v>
      </c>
      <c r="Q7" s="59" t="e">
        <f t="shared" si="6"/>
        <v>#VALUE!</v>
      </c>
      <c r="R7" s="69" t="e">
        <f t="shared" si="7"/>
        <v>#VALUE!</v>
      </c>
      <c r="S7" s="70" t="e">
        <f t="shared" si="8"/>
        <v>#VALUE!</v>
      </c>
      <c r="T7" s="59" t="e">
        <f t="shared" si="9"/>
        <v>#VALUE!</v>
      </c>
      <c r="U7" s="59" t="e">
        <f t="shared" si="10"/>
        <v>#VALUE!</v>
      </c>
      <c r="V7" s="59" t="e">
        <f t="shared" si="11"/>
        <v>#VALUE!</v>
      </c>
      <c r="W7" s="59" t="e">
        <f t="shared" si="12"/>
        <v>#VALUE!</v>
      </c>
      <c r="X7" s="59" t="e">
        <f t="shared" si="13"/>
        <v>#VALUE!</v>
      </c>
      <c r="Y7" s="59" t="e">
        <f t="shared" si="14"/>
        <v>#VALUE!</v>
      </c>
      <c r="AA7" s="59" t="e">
        <f t="shared" si="15"/>
        <v>#VALUE!</v>
      </c>
      <c r="AB7" s="59" t="e">
        <f t="shared" si="16"/>
        <v>#VALUE!</v>
      </c>
      <c r="AD7" s="59" t="e">
        <f t="shared" si="17"/>
        <v>#VALUE!</v>
      </c>
      <c r="AE7" s="59" t="e">
        <f t="shared" si="18"/>
        <v>#VALUE!</v>
      </c>
      <c r="AF7" s="59" t="e">
        <f t="shared" si="19"/>
        <v>#VALUE!</v>
      </c>
      <c r="AG7" s="59" t="e">
        <f t="shared" si="20"/>
        <v>#VALUE!</v>
      </c>
      <c r="AH7" s="59" t="e">
        <f t="shared" si="21"/>
        <v>#VALUE!</v>
      </c>
      <c r="AI7" s="59" t="e">
        <f t="shared" si="21"/>
        <v>#VALUE!</v>
      </c>
      <c r="AK7" s="59" t="e">
        <f t="shared" si="22"/>
        <v>#VALUE!</v>
      </c>
      <c r="AL7" s="67" t="e">
        <f t="shared" si="23"/>
        <v>#VALUE!</v>
      </c>
      <c r="AN7" s="59">
        <v>150</v>
      </c>
      <c r="AO7" s="59" t="e">
        <f t="shared" si="30"/>
        <v>#VALUE!</v>
      </c>
      <c r="AP7" s="59" t="e">
        <f>AVERAGE(AQ7:AR7)</f>
        <v>#VALUE!</v>
      </c>
      <c r="AQ7" s="59" t="e">
        <f>IF(AO7=1,AI$28,0)</f>
        <v>#VALUE!</v>
      </c>
      <c r="AR7" s="59" t="e">
        <f>IF(AO7=1,AH$28,0)</f>
        <v>#VALUE!</v>
      </c>
      <c r="AS7" s="59" t="e">
        <f t="shared" ref="AS7:AS19" si="32">IF(AO7=1,-AO$3+AN7,0)</f>
        <v>#VALUE!</v>
      </c>
    </row>
    <row r="8" spans="1:45" s="59" customFormat="1" x14ac:dyDescent="0.45">
      <c r="A8" s="64">
        <f t="shared" si="31"/>
        <v>6</v>
      </c>
      <c r="B8" s="65" t="str">
        <f>RTD("rit2.rtd",,"News",,A8)</f>
        <v>NEWS|6</v>
      </c>
      <c r="C8" s="64"/>
      <c r="D8" s="64"/>
      <c r="F8" s="66" t="e">
        <f t="shared" si="29"/>
        <v>#VALUE!</v>
      </c>
      <c r="G8" s="59" t="e">
        <f t="shared" si="0"/>
        <v>#VALUE!</v>
      </c>
      <c r="H8" s="59" t="e">
        <f t="shared" si="1"/>
        <v>#VALUE!</v>
      </c>
      <c r="I8" s="67">
        <f t="shared" si="27"/>
        <v>0</v>
      </c>
      <c r="J8" s="68" t="e">
        <f t="shared" si="24"/>
        <v>#VALUE!</v>
      </c>
      <c r="K8" s="59">
        <f t="shared" si="2"/>
        <v>0</v>
      </c>
      <c r="L8" s="59" t="e">
        <f t="shared" si="28"/>
        <v>#VALUE!</v>
      </c>
      <c r="M8" s="59" t="e">
        <f t="shared" si="3"/>
        <v>#VALUE!</v>
      </c>
      <c r="N8" s="59" t="e">
        <f t="shared" si="4"/>
        <v>#VALUE!</v>
      </c>
      <c r="O8" s="67" t="e">
        <f t="shared" si="5"/>
        <v>#VALUE!</v>
      </c>
      <c r="P8" s="68" t="e">
        <f t="shared" si="25"/>
        <v>#VALUE!</v>
      </c>
      <c r="Q8" s="59" t="e">
        <f t="shared" si="6"/>
        <v>#VALUE!</v>
      </c>
      <c r="R8" s="69" t="e">
        <f t="shared" si="7"/>
        <v>#VALUE!</v>
      </c>
      <c r="S8" s="70" t="e">
        <f t="shared" si="8"/>
        <v>#VALUE!</v>
      </c>
      <c r="T8" s="59" t="e">
        <f t="shared" si="9"/>
        <v>#VALUE!</v>
      </c>
      <c r="U8" s="59" t="e">
        <f t="shared" si="10"/>
        <v>#VALUE!</v>
      </c>
      <c r="V8" s="59" t="e">
        <f t="shared" si="11"/>
        <v>#VALUE!</v>
      </c>
      <c r="W8" s="59" t="e">
        <f t="shared" si="12"/>
        <v>#VALUE!</v>
      </c>
      <c r="X8" s="59" t="e">
        <f t="shared" si="13"/>
        <v>#VALUE!</v>
      </c>
      <c r="Y8" s="59" t="e">
        <f t="shared" si="14"/>
        <v>#VALUE!</v>
      </c>
      <c r="AA8" s="59" t="e">
        <f t="shared" si="15"/>
        <v>#VALUE!</v>
      </c>
      <c r="AB8" s="59" t="e">
        <f t="shared" si="16"/>
        <v>#VALUE!</v>
      </c>
      <c r="AD8" s="59" t="e">
        <f t="shared" si="17"/>
        <v>#VALUE!</v>
      </c>
      <c r="AE8" s="59" t="e">
        <f t="shared" si="18"/>
        <v>#VALUE!</v>
      </c>
      <c r="AF8" s="59" t="e">
        <f t="shared" si="19"/>
        <v>#VALUE!</v>
      </c>
      <c r="AG8" s="59" t="e">
        <f t="shared" si="20"/>
        <v>#VALUE!</v>
      </c>
      <c r="AH8" s="59" t="e">
        <f t="shared" si="21"/>
        <v>#VALUE!</v>
      </c>
      <c r="AI8" s="59" t="e">
        <f t="shared" si="21"/>
        <v>#VALUE!</v>
      </c>
      <c r="AK8" s="59" t="e">
        <f t="shared" si="22"/>
        <v>#VALUE!</v>
      </c>
      <c r="AL8" s="67" t="e">
        <f t="shared" si="23"/>
        <v>#VALUE!</v>
      </c>
      <c r="AN8" s="59">
        <v>187</v>
      </c>
      <c r="AO8" s="59" t="e">
        <f t="shared" si="30"/>
        <v>#VALUE!</v>
      </c>
      <c r="AP8" s="59" t="e">
        <f>IF(AO8=1,AL$28,0)</f>
        <v>#VALUE!</v>
      </c>
      <c r="AS8" s="59" t="e">
        <f t="shared" si="32"/>
        <v>#VALUE!</v>
      </c>
    </row>
    <row r="9" spans="1:45" s="59" customFormat="1" x14ac:dyDescent="0.45">
      <c r="A9" s="64">
        <f t="shared" si="31"/>
        <v>7</v>
      </c>
      <c r="B9" s="65" t="str">
        <f>RTD("rit2.rtd",,"News",,A9)</f>
        <v>NEWS|7</v>
      </c>
      <c r="C9" s="64"/>
      <c r="D9" s="64"/>
      <c r="F9" s="66" t="e">
        <f t="shared" si="29"/>
        <v>#VALUE!</v>
      </c>
      <c r="G9" s="59" t="e">
        <f t="shared" si="0"/>
        <v>#VALUE!</v>
      </c>
      <c r="H9" s="59" t="e">
        <f t="shared" si="1"/>
        <v>#VALUE!</v>
      </c>
      <c r="I9" s="67">
        <f t="shared" si="27"/>
        <v>0</v>
      </c>
      <c r="J9" s="68" t="e">
        <f t="shared" si="24"/>
        <v>#VALUE!</v>
      </c>
      <c r="K9" s="59">
        <f t="shared" si="2"/>
        <v>0</v>
      </c>
      <c r="L9" s="59" t="e">
        <f t="shared" si="28"/>
        <v>#VALUE!</v>
      </c>
      <c r="M9" s="59" t="e">
        <f t="shared" si="3"/>
        <v>#VALUE!</v>
      </c>
      <c r="N9" s="59" t="e">
        <f t="shared" si="4"/>
        <v>#VALUE!</v>
      </c>
      <c r="O9" s="67" t="e">
        <f t="shared" si="5"/>
        <v>#VALUE!</v>
      </c>
      <c r="P9" s="68" t="e">
        <f t="shared" si="25"/>
        <v>#VALUE!</v>
      </c>
      <c r="Q9" s="59" t="e">
        <f t="shared" si="6"/>
        <v>#VALUE!</v>
      </c>
      <c r="R9" s="69" t="e">
        <f t="shared" si="7"/>
        <v>#VALUE!</v>
      </c>
      <c r="S9" s="70" t="e">
        <f t="shared" si="8"/>
        <v>#VALUE!</v>
      </c>
      <c r="T9" s="59" t="e">
        <f t="shared" si="9"/>
        <v>#VALUE!</v>
      </c>
      <c r="U9" s="59" t="e">
        <f t="shared" si="10"/>
        <v>#VALUE!</v>
      </c>
      <c r="V9" s="59" t="e">
        <f t="shared" si="11"/>
        <v>#VALUE!</v>
      </c>
      <c r="W9" s="59" t="e">
        <f t="shared" si="12"/>
        <v>#VALUE!</v>
      </c>
      <c r="X9" s="59" t="e">
        <f t="shared" si="13"/>
        <v>#VALUE!</v>
      </c>
      <c r="Y9" s="59" t="e">
        <f t="shared" si="14"/>
        <v>#VALUE!</v>
      </c>
      <c r="AA9" s="59" t="e">
        <f t="shared" si="15"/>
        <v>#VALUE!</v>
      </c>
      <c r="AB9" s="59" t="e">
        <f t="shared" si="16"/>
        <v>#VALUE!</v>
      </c>
      <c r="AD9" s="59" t="e">
        <f t="shared" si="17"/>
        <v>#VALUE!</v>
      </c>
      <c r="AE9" s="59" t="e">
        <f t="shared" si="18"/>
        <v>#VALUE!</v>
      </c>
      <c r="AF9" s="59" t="e">
        <f t="shared" si="19"/>
        <v>#VALUE!</v>
      </c>
      <c r="AG9" s="59" t="e">
        <f t="shared" si="20"/>
        <v>#VALUE!</v>
      </c>
      <c r="AH9" s="59" t="e">
        <f t="shared" si="21"/>
        <v>#VALUE!</v>
      </c>
      <c r="AI9" s="59" t="e">
        <f t="shared" si="21"/>
        <v>#VALUE!</v>
      </c>
      <c r="AK9" s="59" t="e">
        <f t="shared" si="22"/>
        <v>#VALUE!</v>
      </c>
      <c r="AL9" s="67" t="e">
        <f t="shared" si="23"/>
        <v>#VALUE!</v>
      </c>
      <c r="AN9" s="59">
        <v>225</v>
      </c>
      <c r="AO9" s="59" t="e">
        <f t="shared" si="30"/>
        <v>#VALUE!</v>
      </c>
      <c r="AP9" s="59" t="e">
        <f>AVERAGE(AQ9:AR9)</f>
        <v>#VALUE!</v>
      </c>
      <c r="AQ9" s="59" t="e">
        <f>IF(AO9=1,AI$28,0)</f>
        <v>#VALUE!</v>
      </c>
      <c r="AR9" s="59" t="e">
        <f>IF(AO9=1,AH$28,0)</f>
        <v>#VALUE!</v>
      </c>
      <c r="AS9" s="59" t="e">
        <f t="shared" si="32"/>
        <v>#VALUE!</v>
      </c>
    </row>
    <row r="10" spans="1:45" s="59" customFormat="1" x14ac:dyDescent="0.45">
      <c r="A10" s="64">
        <f t="shared" si="31"/>
        <v>8</v>
      </c>
      <c r="B10" s="65" t="str">
        <f>RTD("rit2.rtd",,"News",,A10)</f>
        <v>NEWS|8</v>
      </c>
      <c r="C10" s="64"/>
      <c r="D10" s="64"/>
      <c r="F10" s="66" t="e">
        <f t="shared" si="29"/>
        <v>#VALUE!</v>
      </c>
      <c r="G10" s="59" t="e">
        <f t="shared" si="0"/>
        <v>#VALUE!</v>
      </c>
      <c r="H10" s="59" t="e">
        <f t="shared" si="1"/>
        <v>#VALUE!</v>
      </c>
      <c r="I10" s="67">
        <f t="shared" si="27"/>
        <v>0</v>
      </c>
      <c r="J10" s="68" t="e">
        <f t="shared" si="24"/>
        <v>#VALUE!</v>
      </c>
      <c r="K10" s="59">
        <f t="shared" si="2"/>
        <v>0</v>
      </c>
      <c r="L10" s="59" t="e">
        <f t="shared" si="28"/>
        <v>#VALUE!</v>
      </c>
      <c r="M10" s="59" t="e">
        <f t="shared" si="3"/>
        <v>#VALUE!</v>
      </c>
      <c r="N10" s="59" t="e">
        <f t="shared" si="4"/>
        <v>#VALUE!</v>
      </c>
      <c r="O10" s="67" t="e">
        <f t="shared" si="5"/>
        <v>#VALUE!</v>
      </c>
      <c r="P10" s="68" t="e">
        <f t="shared" si="25"/>
        <v>#VALUE!</v>
      </c>
      <c r="Q10" s="59" t="e">
        <f t="shared" si="6"/>
        <v>#VALUE!</v>
      </c>
      <c r="R10" s="69" t="e">
        <f t="shared" si="7"/>
        <v>#VALUE!</v>
      </c>
      <c r="S10" s="70" t="e">
        <f t="shared" si="8"/>
        <v>#VALUE!</v>
      </c>
      <c r="T10" s="59" t="e">
        <f t="shared" si="9"/>
        <v>#VALUE!</v>
      </c>
      <c r="U10" s="59" t="e">
        <f t="shared" si="10"/>
        <v>#VALUE!</v>
      </c>
      <c r="V10" s="59" t="e">
        <f t="shared" si="11"/>
        <v>#VALUE!</v>
      </c>
      <c r="W10" s="59" t="e">
        <f t="shared" si="12"/>
        <v>#VALUE!</v>
      </c>
      <c r="X10" s="59" t="e">
        <f t="shared" si="13"/>
        <v>#VALUE!</v>
      </c>
      <c r="Y10" s="59" t="e">
        <f t="shared" si="14"/>
        <v>#VALUE!</v>
      </c>
      <c r="AA10" s="59" t="e">
        <f t="shared" si="15"/>
        <v>#VALUE!</v>
      </c>
      <c r="AB10" s="59" t="e">
        <f t="shared" si="16"/>
        <v>#VALUE!</v>
      </c>
      <c r="AD10" s="59" t="e">
        <f t="shared" si="17"/>
        <v>#VALUE!</v>
      </c>
      <c r="AE10" s="59" t="e">
        <f t="shared" si="18"/>
        <v>#VALUE!</v>
      </c>
      <c r="AF10" s="59" t="e">
        <f t="shared" si="19"/>
        <v>#VALUE!</v>
      </c>
      <c r="AG10" s="59" t="e">
        <f t="shared" si="20"/>
        <v>#VALUE!</v>
      </c>
      <c r="AH10" s="59" t="e">
        <f t="shared" si="21"/>
        <v>#VALUE!</v>
      </c>
      <c r="AI10" s="59" t="e">
        <f t="shared" si="21"/>
        <v>#VALUE!</v>
      </c>
      <c r="AK10" s="59" t="e">
        <f t="shared" si="22"/>
        <v>#VALUE!</v>
      </c>
      <c r="AL10" s="67" t="e">
        <f t="shared" si="23"/>
        <v>#VALUE!</v>
      </c>
      <c r="AN10" s="59">
        <v>262</v>
      </c>
      <c r="AO10" s="59" t="e">
        <f t="shared" si="30"/>
        <v>#VALUE!</v>
      </c>
      <c r="AP10" s="59" t="e">
        <f>IF(AO10=1,AL$28,0)</f>
        <v>#VALUE!</v>
      </c>
      <c r="AS10" s="59" t="e">
        <f t="shared" si="32"/>
        <v>#VALUE!</v>
      </c>
    </row>
    <row r="11" spans="1:45" s="59" customFormat="1" x14ac:dyDescent="0.45">
      <c r="A11" s="64">
        <f t="shared" si="31"/>
        <v>9</v>
      </c>
      <c r="B11" s="65" t="str">
        <f>RTD("rit2.rtd",,"News",,A11)</f>
        <v>NEWS|9</v>
      </c>
      <c r="C11" s="64"/>
      <c r="D11" s="64"/>
      <c r="F11" s="66" t="e">
        <f t="shared" si="29"/>
        <v>#VALUE!</v>
      </c>
      <c r="G11" s="59" t="e">
        <f t="shared" si="0"/>
        <v>#VALUE!</v>
      </c>
      <c r="H11" s="59" t="e">
        <f t="shared" si="1"/>
        <v>#VALUE!</v>
      </c>
      <c r="I11" s="67">
        <f t="shared" si="27"/>
        <v>0</v>
      </c>
      <c r="J11" s="68" t="e">
        <f t="shared" si="24"/>
        <v>#VALUE!</v>
      </c>
      <c r="K11" s="59">
        <f t="shared" si="2"/>
        <v>0</v>
      </c>
      <c r="L11" s="59" t="e">
        <f t="shared" si="28"/>
        <v>#VALUE!</v>
      </c>
      <c r="M11" s="59" t="e">
        <f t="shared" si="3"/>
        <v>#VALUE!</v>
      </c>
      <c r="N11" s="59" t="e">
        <f t="shared" si="4"/>
        <v>#VALUE!</v>
      </c>
      <c r="O11" s="67" t="e">
        <f t="shared" si="5"/>
        <v>#VALUE!</v>
      </c>
      <c r="P11" s="68" t="e">
        <f t="shared" si="25"/>
        <v>#VALUE!</v>
      </c>
      <c r="Q11" s="59" t="e">
        <f t="shared" si="6"/>
        <v>#VALUE!</v>
      </c>
      <c r="R11" s="69" t="e">
        <f t="shared" si="7"/>
        <v>#VALUE!</v>
      </c>
      <c r="S11" s="70" t="e">
        <f t="shared" si="8"/>
        <v>#VALUE!</v>
      </c>
      <c r="T11" s="59" t="e">
        <f t="shared" si="9"/>
        <v>#VALUE!</v>
      </c>
      <c r="U11" s="59" t="e">
        <f t="shared" si="10"/>
        <v>#VALUE!</v>
      </c>
      <c r="V11" s="59" t="e">
        <f t="shared" si="11"/>
        <v>#VALUE!</v>
      </c>
      <c r="W11" s="59" t="e">
        <f t="shared" si="12"/>
        <v>#VALUE!</v>
      </c>
      <c r="X11" s="59" t="e">
        <f t="shared" si="13"/>
        <v>#VALUE!</v>
      </c>
      <c r="Y11" s="59" t="e">
        <f t="shared" si="14"/>
        <v>#VALUE!</v>
      </c>
      <c r="AA11" s="59" t="e">
        <f t="shared" si="15"/>
        <v>#VALUE!</v>
      </c>
      <c r="AB11" s="59" t="e">
        <f t="shared" si="16"/>
        <v>#VALUE!</v>
      </c>
      <c r="AD11" s="59" t="e">
        <f t="shared" si="17"/>
        <v>#VALUE!</v>
      </c>
      <c r="AE11" s="59" t="e">
        <f t="shared" si="18"/>
        <v>#VALUE!</v>
      </c>
      <c r="AF11" s="59" t="e">
        <f t="shared" si="19"/>
        <v>#VALUE!</v>
      </c>
      <c r="AG11" s="59" t="e">
        <f t="shared" si="20"/>
        <v>#VALUE!</v>
      </c>
      <c r="AH11" s="59" t="e">
        <f t="shared" si="21"/>
        <v>#VALUE!</v>
      </c>
      <c r="AI11" s="59" t="e">
        <f t="shared" si="21"/>
        <v>#VALUE!</v>
      </c>
      <c r="AK11" s="59" t="e">
        <f t="shared" si="22"/>
        <v>#VALUE!</v>
      </c>
      <c r="AL11" s="67" t="e">
        <f t="shared" si="23"/>
        <v>#VALUE!</v>
      </c>
      <c r="AN11" s="59">
        <v>300</v>
      </c>
      <c r="AO11" s="59" t="e">
        <f t="shared" si="30"/>
        <v>#VALUE!</v>
      </c>
      <c r="AP11" s="59" t="e">
        <f>AVERAGE(AQ11:AR11)</f>
        <v>#VALUE!</v>
      </c>
      <c r="AQ11" s="59" t="e">
        <f>IF(AO11=1,AI$28,0)</f>
        <v>#VALUE!</v>
      </c>
      <c r="AR11" s="59" t="e">
        <f>IF(AO11=1,AH$28,0)</f>
        <v>#VALUE!</v>
      </c>
      <c r="AS11" s="59" t="e">
        <f t="shared" si="32"/>
        <v>#VALUE!</v>
      </c>
    </row>
    <row r="12" spans="1:45" s="59" customFormat="1" x14ac:dyDescent="0.45">
      <c r="A12" s="64">
        <f t="shared" si="31"/>
        <v>10</v>
      </c>
      <c r="B12" s="65" t="str">
        <f>RTD("rit2.rtd",,"News",,A12)</f>
        <v>NEWS|10</v>
      </c>
      <c r="F12" s="66" t="e">
        <f t="shared" si="29"/>
        <v>#VALUE!</v>
      </c>
      <c r="G12" s="59" t="e">
        <f t="shared" si="0"/>
        <v>#VALUE!</v>
      </c>
      <c r="H12" s="59" t="e">
        <f t="shared" si="1"/>
        <v>#VALUE!</v>
      </c>
      <c r="I12" s="67">
        <f t="shared" si="27"/>
        <v>0</v>
      </c>
      <c r="J12" s="68" t="e">
        <f t="shared" si="24"/>
        <v>#VALUE!</v>
      </c>
      <c r="K12" s="59">
        <f t="shared" si="2"/>
        <v>0</v>
      </c>
      <c r="L12" s="59" t="e">
        <f t="shared" si="28"/>
        <v>#VALUE!</v>
      </c>
      <c r="M12" s="59" t="e">
        <f t="shared" si="3"/>
        <v>#VALUE!</v>
      </c>
      <c r="N12" s="59" t="e">
        <f t="shared" si="4"/>
        <v>#VALUE!</v>
      </c>
      <c r="O12" s="67" t="e">
        <f t="shared" si="5"/>
        <v>#VALUE!</v>
      </c>
      <c r="P12" s="68" t="e">
        <f t="shared" si="25"/>
        <v>#VALUE!</v>
      </c>
      <c r="Q12" s="59" t="e">
        <f t="shared" si="6"/>
        <v>#VALUE!</v>
      </c>
      <c r="R12" s="69" t="e">
        <f t="shared" si="7"/>
        <v>#VALUE!</v>
      </c>
      <c r="S12" s="70" t="e">
        <f t="shared" si="8"/>
        <v>#VALUE!</v>
      </c>
      <c r="T12" s="59" t="e">
        <f t="shared" si="9"/>
        <v>#VALUE!</v>
      </c>
      <c r="U12" s="59" t="e">
        <f t="shared" si="10"/>
        <v>#VALUE!</v>
      </c>
      <c r="V12" s="59" t="e">
        <f t="shared" si="11"/>
        <v>#VALUE!</v>
      </c>
      <c r="W12" s="59" t="e">
        <f t="shared" si="12"/>
        <v>#VALUE!</v>
      </c>
      <c r="X12" s="59" t="e">
        <f t="shared" si="13"/>
        <v>#VALUE!</v>
      </c>
      <c r="Y12" s="59" t="e">
        <f t="shared" si="14"/>
        <v>#VALUE!</v>
      </c>
      <c r="AA12" s="59" t="e">
        <f t="shared" si="15"/>
        <v>#VALUE!</v>
      </c>
      <c r="AB12" s="59" t="e">
        <f t="shared" si="16"/>
        <v>#VALUE!</v>
      </c>
      <c r="AD12" s="59" t="e">
        <f t="shared" si="17"/>
        <v>#VALUE!</v>
      </c>
      <c r="AE12" s="59" t="e">
        <f t="shared" si="18"/>
        <v>#VALUE!</v>
      </c>
      <c r="AF12" s="59" t="e">
        <f t="shared" si="19"/>
        <v>#VALUE!</v>
      </c>
      <c r="AG12" s="59" t="e">
        <f t="shared" si="20"/>
        <v>#VALUE!</v>
      </c>
      <c r="AH12" s="59" t="e">
        <f t="shared" si="21"/>
        <v>#VALUE!</v>
      </c>
      <c r="AI12" s="59" t="e">
        <f t="shared" si="21"/>
        <v>#VALUE!</v>
      </c>
      <c r="AK12" s="59" t="e">
        <f t="shared" si="22"/>
        <v>#VALUE!</v>
      </c>
      <c r="AL12" s="67" t="e">
        <f t="shared" si="23"/>
        <v>#VALUE!</v>
      </c>
      <c r="AN12" s="59">
        <v>337</v>
      </c>
      <c r="AO12" s="59" t="e">
        <f t="shared" si="30"/>
        <v>#VALUE!</v>
      </c>
      <c r="AP12" s="59" t="e">
        <f>IF(AO12=1,AL$28,0)</f>
        <v>#VALUE!</v>
      </c>
      <c r="AS12" s="59" t="e">
        <f t="shared" si="32"/>
        <v>#VALUE!</v>
      </c>
    </row>
    <row r="13" spans="1:45" s="59" customFormat="1" x14ac:dyDescent="0.45">
      <c r="A13" s="64">
        <f t="shared" si="31"/>
        <v>11</v>
      </c>
      <c r="B13" s="65" t="str">
        <f>RTD("rit2.rtd",,"News",,A13)</f>
        <v>NEWS|11</v>
      </c>
      <c r="F13" s="66" t="e">
        <f t="shared" si="29"/>
        <v>#VALUE!</v>
      </c>
      <c r="G13" s="59" t="e">
        <f t="shared" si="0"/>
        <v>#VALUE!</v>
      </c>
      <c r="H13" s="59" t="e">
        <f t="shared" si="1"/>
        <v>#VALUE!</v>
      </c>
      <c r="I13" s="67">
        <f t="shared" si="27"/>
        <v>0</v>
      </c>
      <c r="J13" s="68" t="e">
        <f t="shared" si="24"/>
        <v>#VALUE!</v>
      </c>
      <c r="K13" s="59">
        <f t="shared" si="2"/>
        <v>0</v>
      </c>
      <c r="L13" s="59" t="e">
        <f t="shared" si="28"/>
        <v>#VALUE!</v>
      </c>
      <c r="M13" s="59" t="e">
        <f t="shared" si="3"/>
        <v>#VALUE!</v>
      </c>
      <c r="N13" s="59" t="e">
        <f t="shared" si="4"/>
        <v>#VALUE!</v>
      </c>
      <c r="O13" s="67" t="e">
        <f t="shared" si="5"/>
        <v>#VALUE!</v>
      </c>
      <c r="P13" s="68" t="e">
        <f t="shared" si="25"/>
        <v>#VALUE!</v>
      </c>
      <c r="Q13" s="59" t="e">
        <f t="shared" si="6"/>
        <v>#VALUE!</v>
      </c>
      <c r="R13" s="69" t="e">
        <f t="shared" si="7"/>
        <v>#VALUE!</v>
      </c>
      <c r="S13" s="70" t="e">
        <f t="shared" si="8"/>
        <v>#VALUE!</v>
      </c>
      <c r="T13" s="59" t="e">
        <f t="shared" si="9"/>
        <v>#VALUE!</v>
      </c>
      <c r="U13" s="59" t="e">
        <f t="shared" si="10"/>
        <v>#VALUE!</v>
      </c>
      <c r="V13" s="59" t="e">
        <f t="shared" si="11"/>
        <v>#VALUE!</v>
      </c>
      <c r="W13" s="59" t="e">
        <f t="shared" si="12"/>
        <v>#VALUE!</v>
      </c>
      <c r="X13" s="59" t="e">
        <f t="shared" si="13"/>
        <v>#VALUE!</v>
      </c>
      <c r="Y13" s="59" t="e">
        <f t="shared" si="14"/>
        <v>#VALUE!</v>
      </c>
      <c r="AA13" s="59" t="e">
        <f t="shared" si="15"/>
        <v>#VALUE!</v>
      </c>
      <c r="AB13" s="59" t="e">
        <f t="shared" si="16"/>
        <v>#VALUE!</v>
      </c>
      <c r="AD13" s="59" t="e">
        <f t="shared" si="17"/>
        <v>#VALUE!</v>
      </c>
      <c r="AE13" s="59" t="e">
        <f t="shared" si="18"/>
        <v>#VALUE!</v>
      </c>
      <c r="AF13" s="59" t="e">
        <f t="shared" si="19"/>
        <v>#VALUE!</v>
      </c>
      <c r="AG13" s="59" t="e">
        <f t="shared" si="20"/>
        <v>#VALUE!</v>
      </c>
      <c r="AH13" s="59" t="e">
        <f t="shared" si="21"/>
        <v>#VALUE!</v>
      </c>
      <c r="AI13" s="59" t="e">
        <f t="shared" si="21"/>
        <v>#VALUE!</v>
      </c>
      <c r="AK13" s="59" t="e">
        <f t="shared" si="22"/>
        <v>#VALUE!</v>
      </c>
      <c r="AL13" s="67" t="e">
        <f t="shared" si="23"/>
        <v>#VALUE!</v>
      </c>
      <c r="AN13" s="59">
        <v>375</v>
      </c>
      <c r="AO13" s="59" t="e">
        <f t="shared" si="30"/>
        <v>#VALUE!</v>
      </c>
      <c r="AP13" s="59" t="e">
        <f>AVERAGE(AQ13:AR13)</f>
        <v>#VALUE!</v>
      </c>
      <c r="AQ13" s="59" t="e">
        <f>IF(AO13=1,AI$28,0)</f>
        <v>#VALUE!</v>
      </c>
      <c r="AR13" s="59" t="e">
        <f>IF(AO13=1,AH$28,0)</f>
        <v>#VALUE!</v>
      </c>
      <c r="AS13" s="59" t="e">
        <f t="shared" si="32"/>
        <v>#VALUE!</v>
      </c>
    </row>
    <row r="14" spans="1:45" s="59" customFormat="1" x14ac:dyDescent="0.45">
      <c r="A14" s="64">
        <f t="shared" si="31"/>
        <v>12</v>
      </c>
      <c r="B14" s="65" t="str">
        <f>RTD("rit2.rtd",,"News",,A14)</f>
        <v>NEWS|12</v>
      </c>
      <c r="F14" s="66" t="e">
        <f t="shared" si="29"/>
        <v>#VALUE!</v>
      </c>
      <c r="G14" s="59" t="e">
        <f t="shared" si="0"/>
        <v>#VALUE!</v>
      </c>
      <c r="H14" s="59" t="e">
        <f t="shared" si="1"/>
        <v>#VALUE!</v>
      </c>
      <c r="I14" s="67">
        <f t="shared" si="27"/>
        <v>0</v>
      </c>
      <c r="J14" s="68" t="e">
        <f t="shared" si="24"/>
        <v>#VALUE!</v>
      </c>
      <c r="K14" s="59">
        <f t="shared" si="2"/>
        <v>0</v>
      </c>
      <c r="L14" s="59" t="e">
        <f t="shared" si="28"/>
        <v>#VALUE!</v>
      </c>
      <c r="M14" s="59" t="e">
        <f t="shared" si="3"/>
        <v>#VALUE!</v>
      </c>
      <c r="N14" s="59" t="e">
        <f t="shared" si="4"/>
        <v>#VALUE!</v>
      </c>
      <c r="O14" s="67" t="e">
        <f t="shared" si="5"/>
        <v>#VALUE!</v>
      </c>
      <c r="P14" s="68" t="e">
        <f t="shared" si="25"/>
        <v>#VALUE!</v>
      </c>
      <c r="Q14" s="59" t="e">
        <f t="shared" si="6"/>
        <v>#VALUE!</v>
      </c>
      <c r="R14" s="69" t="e">
        <f t="shared" si="7"/>
        <v>#VALUE!</v>
      </c>
      <c r="S14" s="70" t="e">
        <f t="shared" si="8"/>
        <v>#VALUE!</v>
      </c>
      <c r="T14" s="59" t="e">
        <f t="shared" si="9"/>
        <v>#VALUE!</v>
      </c>
      <c r="U14" s="59" t="e">
        <f t="shared" si="10"/>
        <v>#VALUE!</v>
      </c>
      <c r="V14" s="59" t="e">
        <f t="shared" si="11"/>
        <v>#VALUE!</v>
      </c>
      <c r="W14" s="59" t="e">
        <f t="shared" si="12"/>
        <v>#VALUE!</v>
      </c>
      <c r="X14" s="59" t="e">
        <f t="shared" si="13"/>
        <v>#VALUE!</v>
      </c>
      <c r="Y14" s="59" t="e">
        <f t="shared" si="14"/>
        <v>#VALUE!</v>
      </c>
      <c r="AA14" s="59" t="e">
        <f t="shared" si="15"/>
        <v>#VALUE!</v>
      </c>
      <c r="AB14" s="59" t="e">
        <f t="shared" si="16"/>
        <v>#VALUE!</v>
      </c>
      <c r="AD14" s="59" t="e">
        <f t="shared" si="17"/>
        <v>#VALUE!</v>
      </c>
      <c r="AE14" s="59" t="e">
        <f t="shared" si="18"/>
        <v>#VALUE!</v>
      </c>
      <c r="AF14" s="59" t="e">
        <f t="shared" si="19"/>
        <v>#VALUE!</v>
      </c>
      <c r="AG14" s="59" t="e">
        <f t="shared" si="20"/>
        <v>#VALUE!</v>
      </c>
      <c r="AH14" s="59" t="e">
        <f t="shared" si="21"/>
        <v>#VALUE!</v>
      </c>
      <c r="AI14" s="59" t="e">
        <f t="shared" si="21"/>
        <v>#VALUE!</v>
      </c>
      <c r="AK14" s="59" t="e">
        <f t="shared" si="22"/>
        <v>#VALUE!</v>
      </c>
      <c r="AL14" s="67" t="e">
        <f t="shared" si="23"/>
        <v>#VALUE!</v>
      </c>
      <c r="AN14" s="59">
        <v>412</v>
      </c>
      <c r="AO14" s="59" t="e">
        <f t="shared" si="30"/>
        <v>#VALUE!</v>
      </c>
      <c r="AP14" s="59" t="e">
        <f>IF(AO14=1,AL$28,0)</f>
        <v>#VALUE!</v>
      </c>
      <c r="AS14" s="59" t="e">
        <f t="shared" si="32"/>
        <v>#VALUE!</v>
      </c>
    </row>
    <row r="15" spans="1:45" s="59" customFormat="1" x14ac:dyDescent="0.45">
      <c r="A15" s="64">
        <f t="shared" si="31"/>
        <v>13</v>
      </c>
      <c r="B15" s="65" t="str">
        <f>RTD("rit2.rtd",,"News",,A15)</f>
        <v>NEWS|13</v>
      </c>
      <c r="F15" s="66" t="e">
        <f t="shared" si="29"/>
        <v>#VALUE!</v>
      </c>
      <c r="G15" s="59" t="e">
        <f t="shared" si="0"/>
        <v>#VALUE!</v>
      </c>
      <c r="H15" s="59" t="e">
        <f t="shared" si="1"/>
        <v>#VALUE!</v>
      </c>
      <c r="I15" s="67">
        <f t="shared" si="27"/>
        <v>0</v>
      </c>
      <c r="J15" s="68" t="e">
        <f t="shared" si="24"/>
        <v>#VALUE!</v>
      </c>
      <c r="K15" s="59">
        <f t="shared" si="2"/>
        <v>0</v>
      </c>
      <c r="L15" s="59" t="e">
        <f t="shared" si="28"/>
        <v>#VALUE!</v>
      </c>
      <c r="M15" s="59" t="e">
        <f t="shared" si="3"/>
        <v>#VALUE!</v>
      </c>
      <c r="N15" s="59" t="e">
        <f t="shared" si="4"/>
        <v>#VALUE!</v>
      </c>
      <c r="O15" s="67" t="e">
        <f t="shared" si="5"/>
        <v>#VALUE!</v>
      </c>
      <c r="P15" s="68" t="e">
        <f t="shared" si="25"/>
        <v>#VALUE!</v>
      </c>
      <c r="Q15" s="59" t="e">
        <f t="shared" si="6"/>
        <v>#VALUE!</v>
      </c>
      <c r="R15" s="69" t="e">
        <f t="shared" si="7"/>
        <v>#VALUE!</v>
      </c>
      <c r="S15" s="70" t="e">
        <f t="shared" si="8"/>
        <v>#VALUE!</v>
      </c>
      <c r="T15" s="59" t="e">
        <f t="shared" si="9"/>
        <v>#VALUE!</v>
      </c>
      <c r="U15" s="59" t="e">
        <f t="shared" si="10"/>
        <v>#VALUE!</v>
      </c>
      <c r="V15" s="59" t="e">
        <f t="shared" si="11"/>
        <v>#VALUE!</v>
      </c>
      <c r="W15" s="59" t="e">
        <f t="shared" si="12"/>
        <v>#VALUE!</v>
      </c>
      <c r="X15" s="59" t="e">
        <f t="shared" si="13"/>
        <v>#VALUE!</v>
      </c>
      <c r="Y15" s="59" t="e">
        <f t="shared" si="14"/>
        <v>#VALUE!</v>
      </c>
      <c r="AA15" s="59" t="e">
        <f t="shared" si="15"/>
        <v>#VALUE!</v>
      </c>
      <c r="AB15" s="59" t="e">
        <f t="shared" si="16"/>
        <v>#VALUE!</v>
      </c>
      <c r="AD15" s="59" t="e">
        <f t="shared" si="17"/>
        <v>#VALUE!</v>
      </c>
      <c r="AE15" s="59" t="e">
        <f t="shared" si="18"/>
        <v>#VALUE!</v>
      </c>
      <c r="AF15" s="59" t="e">
        <f t="shared" si="19"/>
        <v>#VALUE!</v>
      </c>
      <c r="AG15" s="59" t="e">
        <f t="shared" si="20"/>
        <v>#VALUE!</v>
      </c>
      <c r="AH15" s="59" t="e">
        <f t="shared" si="21"/>
        <v>#VALUE!</v>
      </c>
      <c r="AI15" s="59" t="e">
        <f t="shared" si="21"/>
        <v>#VALUE!</v>
      </c>
      <c r="AK15" s="59" t="e">
        <f t="shared" si="22"/>
        <v>#VALUE!</v>
      </c>
      <c r="AL15" s="67" t="e">
        <f t="shared" si="23"/>
        <v>#VALUE!</v>
      </c>
      <c r="AN15" s="59">
        <v>450</v>
      </c>
      <c r="AO15" s="59" t="e">
        <f t="shared" si="30"/>
        <v>#VALUE!</v>
      </c>
      <c r="AP15" s="59" t="e">
        <f>AVERAGE(AQ15:AR15)</f>
        <v>#VALUE!</v>
      </c>
      <c r="AQ15" s="59" t="e">
        <f>IF(AO15=1,AI$28,0)</f>
        <v>#VALUE!</v>
      </c>
      <c r="AR15" s="59" t="e">
        <f>IF(AO15=1,AH$28,0)</f>
        <v>#VALUE!</v>
      </c>
      <c r="AS15" s="59" t="e">
        <f t="shared" si="32"/>
        <v>#VALUE!</v>
      </c>
    </row>
    <row r="16" spans="1:45" s="59" customFormat="1" x14ac:dyDescent="0.45">
      <c r="A16" s="64">
        <f t="shared" si="31"/>
        <v>14</v>
      </c>
      <c r="B16" s="65" t="str">
        <f>RTD("rit2.rtd",,"News",,A16)</f>
        <v>NEWS|14</v>
      </c>
      <c r="C16" s="71"/>
      <c r="F16" s="66" t="e">
        <f t="shared" si="29"/>
        <v>#VALUE!</v>
      </c>
      <c r="G16" s="59" t="e">
        <f t="shared" si="0"/>
        <v>#VALUE!</v>
      </c>
      <c r="H16" s="59" t="e">
        <f t="shared" si="1"/>
        <v>#VALUE!</v>
      </c>
      <c r="I16" s="67">
        <f t="shared" si="27"/>
        <v>0</v>
      </c>
      <c r="J16" s="68" t="e">
        <f t="shared" si="24"/>
        <v>#VALUE!</v>
      </c>
      <c r="K16" s="59">
        <f t="shared" si="2"/>
        <v>0</v>
      </c>
      <c r="L16" s="59" t="e">
        <f t="shared" si="28"/>
        <v>#VALUE!</v>
      </c>
      <c r="M16" s="59" t="e">
        <f t="shared" si="3"/>
        <v>#VALUE!</v>
      </c>
      <c r="N16" s="59" t="e">
        <f t="shared" si="4"/>
        <v>#VALUE!</v>
      </c>
      <c r="O16" s="67" t="e">
        <f t="shared" si="5"/>
        <v>#VALUE!</v>
      </c>
      <c r="P16" s="68" t="e">
        <f t="shared" si="25"/>
        <v>#VALUE!</v>
      </c>
      <c r="Q16" s="59" t="e">
        <f t="shared" si="6"/>
        <v>#VALUE!</v>
      </c>
      <c r="R16" s="69" t="e">
        <f t="shared" si="7"/>
        <v>#VALUE!</v>
      </c>
      <c r="S16" s="70" t="e">
        <f t="shared" si="8"/>
        <v>#VALUE!</v>
      </c>
      <c r="T16" s="59" t="e">
        <f t="shared" si="9"/>
        <v>#VALUE!</v>
      </c>
      <c r="U16" s="59" t="e">
        <f t="shared" si="10"/>
        <v>#VALUE!</v>
      </c>
      <c r="V16" s="59" t="e">
        <f t="shared" si="11"/>
        <v>#VALUE!</v>
      </c>
      <c r="W16" s="59" t="e">
        <f t="shared" si="12"/>
        <v>#VALUE!</v>
      </c>
      <c r="X16" s="59" t="e">
        <f t="shared" si="13"/>
        <v>#VALUE!</v>
      </c>
      <c r="Y16" s="59" t="e">
        <f t="shared" si="14"/>
        <v>#VALUE!</v>
      </c>
      <c r="AA16" s="59" t="e">
        <f t="shared" si="15"/>
        <v>#VALUE!</v>
      </c>
      <c r="AB16" s="59" t="e">
        <f t="shared" si="16"/>
        <v>#VALUE!</v>
      </c>
      <c r="AD16" s="59" t="e">
        <f t="shared" si="17"/>
        <v>#VALUE!</v>
      </c>
      <c r="AE16" s="59" t="e">
        <f t="shared" si="18"/>
        <v>#VALUE!</v>
      </c>
      <c r="AF16" s="59" t="e">
        <f t="shared" si="19"/>
        <v>#VALUE!</v>
      </c>
      <c r="AG16" s="59" t="e">
        <f t="shared" si="20"/>
        <v>#VALUE!</v>
      </c>
      <c r="AH16" s="59" t="e">
        <f t="shared" si="21"/>
        <v>#VALUE!</v>
      </c>
      <c r="AI16" s="59" t="e">
        <f t="shared" si="21"/>
        <v>#VALUE!</v>
      </c>
      <c r="AK16" s="59" t="e">
        <f t="shared" si="22"/>
        <v>#VALUE!</v>
      </c>
      <c r="AL16" s="67" t="e">
        <f t="shared" si="23"/>
        <v>#VALUE!</v>
      </c>
      <c r="AN16" s="59">
        <v>487</v>
      </c>
      <c r="AO16" s="59" t="e">
        <f t="shared" si="30"/>
        <v>#VALUE!</v>
      </c>
      <c r="AP16" s="59" t="e">
        <f>IF(AO16=1,AL$28,0)</f>
        <v>#VALUE!</v>
      </c>
      <c r="AS16" s="59" t="e">
        <f t="shared" si="32"/>
        <v>#VALUE!</v>
      </c>
    </row>
    <row r="17" spans="1:45" s="59" customFormat="1" x14ac:dyDescent="0.45">
      <c r="A17" s="64">
        <f t="shared" si="31"/>
        <v>15</v>
      </c>
      <c r="B17" s="65" t="str">
        <f>RTD("rit2.rtd",,"News",,A17)</f>
        <v>NEWS|15</v>
      </c>
      <c r="F17" s="66" t="e">
        <f t="shared" si="29"/>
        <v>#VALUE!</v>
      </c>
      <c r="G17" s="59" t="e">
        <f t="shared" si="0"/>
        <v>#VALUE!</v>
      </c>
      <c r="H17" s="59" t="e">
        <f t="shared" si="1"/>
        <v>#VALUE!</v>
      </c>
      <c r="I17" s="67">
        <f t="shared" si="27"/>
        <v>0</v>
      </c>
      <c r="J17" s="68" t="e">
        <f t="shared" si="24"/>
        <v>#VALUE!</v>
      </c>
      <c r="K17" s="59">
        <f t="shared" si="2"/>
        <v>0</v>
      </c>
      <c r="L17" s="59" t="e">
        <f t="shared" si="28"/>
        <v>#VALUE!</v>
      </c>
      <c r="M17" s="59" t="e">
        <f t="shared" si="3"/>
        <v>#VALUE!</v>
      </c>
      <c r="N17" s="59" t="e">
        <f t="shared" si="4"/>
        <v>#VALUE!</v>
      </c>
      <c r="O17" s="67" t="e">
        <f t="shared" si="5"/>
        <v>#VALUE!</v>
      </c>
      <c r="P17" s="68" t="e">
        <f t="shared" si="25"/>
        <v>#VALUE!</v>
      </c>
      <c r="Q17" s="59" t="e">
        <f t="shared" si="6"/>
        <v>#VALUE!</v>
      </c>
      <c r="R17" s="69" t="e">
        <f t="shared" si="7"/>
        <v>#VALUE!</v>
      </c>
      <c r="S17" s="70" t="e">
        <f t="shared" si="8"/>
        <v>#VALUE!</v>
      </c>
      <c r="T17" s="59" t="e">
        <f t="shared" si="9"/>
        <v>#VALUE!</v>
      </c>
      <c r="U17" s="59" t="e">
        <f t="shared" si="10"/>
        <v>#VALUE!</v>
      </c>
      <c r="V17" s="59" t="e">
        <f t="shared" si="11"/>
        <v>#VALUE!</v>
      </c>
      <c r="W17" s="59" t="e">
        <f t="shared" si="12"/>
        <v>#VALUE!</v>
      </c>
      <c r="X17" s="59" t="e">
        <f t="shared" si="13"/>
        <v>#VALUE!</v>
      </c>
      <c r="Y17" s="59" t="e">
        <f t="shared" si="14"/>
        <v>#VALUE!</v>
      </c>
      <c r="AA17" s="59" t="e">
        <f t="shared" si="15"/>
        <v>#VALUE!</v>
      </c>
      <c r="AB17" s="59" t="e">
        <f t="shared" si="16"/>
        <v>#VALUE!</v>
      </c>
      <c r="AD17" s="59" t="e">
        <f t="shared" si="17"/>
        <v>#VALUE!</v>
      </c>
      <c r="AE17" s="59" t="e">
        <f t="shared" si="18"/>
        <v>#VALUE!</v>
      </c>
      <c r="AF17" s="59" t="e">
        <f t="shared" si="19"/>
        <v>#VALUE!</v>
      </c>
      <c r="AG17" s="59" t="e">
        <f t="shared" si="20"/>
        <v>#VALUE!</v>
      </c>
      <c r="AH17" s="59" t="e">
        <f t="shared" si="21"/>
        <v>#VALUE!</v>
      </c>
      <c r="AI17" s="59" t="e">
        <f t="shared" si="21"/>
        <v>#VALUE!</v>
      </c>
      <c r="AK17" s="59" t="e">
        <f t="shared" si="22"/>
        <v>#VALUE!</v>
      </c>
      <c r="AL17" s="67" t="e">
        <f t="shared" si="23"/>
        <v>#VALUE!</v>
      </c>
      <c r="AN17" s="59">
        <v>525</v>
      </c>
      <c r="AO17" s="59" t="e">
        <f t="shared" si="30"/>
        <v>#VALUE!</v>
      </c>
      <c r="AP17" s="59" t="e">
        <f>AVERAGE(AQ17:AR17)</f>
        <v>#VALUE!</v>
      </c>
      <c r="AQ17" s="59" t="e">
        <f>IF(AO17=1,AI$28,0)</f>
        <v>#VALUE!</v>
      </c>
      <c r="AR17" s="59" t="e">
        <f>IF(AO17=1,AH$28,0)</f>
        <v>#VALUE!</v>
      </c>
      <c r="AS17" s="59" t="e">
        <f t="shared" si="32"/>
        <v>#VALUE!</v>
      </c>
    </row>
    <row r="18" spans="1:45" s="59" customFormat="1" x14ac:dyDescent="0.45">
      <c r="A18" s="64">
        <f t="shared" si="31"/>
        <v>16</v>
      </c>
      <c r="B18" s="65" t="str">
        <f>RTD("rit2.rtd",,"News",,A18)</f>
        <v>NEWS|16</v>
      </c>
      <c r="F18" s="66" t="e">
        <f t="shared" si="29"/>
        <v>#VALUE!</v>
      </c>
      <c r="G18" s="59" t="e">
        <f t="shared" si="0"/>
        <v>#VALUE!</v>
      </c>
      <c r="H18" s="59" t="e">
        <f t="shared" si="1"/>
        <v>#VALUE!</v>
      </c>
      <c r="I18" s="67">
        <f t="shared" si="27"/>
        <v>0</v>
      </c>
      <c r="J18" s="68" t="e">
        <f t="shared" si="24"/>
        <v>#VALUE!</v>
      </c>
      <c r="K18" s="59">
        <f t="shared" si="2"/>
        <v>0</v>
      </c>
      <c r="L18" s="59" t="e">
        <f t="shared" si="28"/>
        <v>#VALUE!</v>
      </c>
      <c r="M18" s="59" t="e">
        <f t="shared" si="3"/>
        <v>#VALUE!</v>
      </c>
      <c r="N18" s="59" t="e">
        <f t="shared" si="4"/>
        <v>#VALUE!</v>
      </c>
      <c r="O18" s="59" t="e">
        <f t="shared" si="5"/>
        <v>#VALUE!</v>
      </c>
      <c r="P18" s="59" t="e">
        <f t="shared" si="25"/>
        <v>#VALUE!</v>
      </c>
      <c r="Q18" s="59" t="e">
        <f t="shared" si="6"/>
        <v>#VALUE!</v>
      </c>
      <c r="R18" s="69" t="e">
        <f t="shared" si="7"/>
        <v>#VALUE!</v>
      </c>
      <c r="S18" s="70" t="e">
        <f t="shared" si="8"/>
        <v>#VALUE!</v>
      </c>
      <c r="T18" s="59" t="e">
        <f t="shared" si="9"/>
        <v>#VALUE!</v>
      </c>
      <c r="U18" s="59" t="e">
        <f t="shared" si="10"/>
        <v>#VALUE!</v>
      </c>
      <c r="V18" s="59" t="e">
        <f t="shared" si="11"/>
        <v>#VALUE!</v>
      </c>
      <c r="W18" s="59" t="e">
        <f t="shared" si="12"/>
        <v>#VALUE!</v>
      </c>
      <c r="X18" s="59" t="e">
        <f t="shared" si="13"/>
        <v>#VALUE!</v>
      </c>
      <c r="Y18" s="59" t="e">
        <f t="shared" si="14"/>
        <v>#VALUE!</v>
      </c>
      <c r="AA18" s="59" t="e">
        <f t="shared" si="15"/>
        <v>#VALUE!</v>
      </c>
      <c r="AB18" s="59" t="e">
        <f t="shared" si="16"/>
        <v>#VALUE!</v>
      </c>
      <c r="AD18" s="59" t="e">
        <f t="shared" si="17"/>
        <v>#VALUE!</v>
      </c>
      <c r="AE18" s="59" t="e">
        <f t="shared" si="18"/>
        <v>#VALUE!</v>
      </c>
      <c r="AF18" s="59" t="e">
        <f t="shared" si="19"/>
        <v>#VALUE!</v>
      </c>
      <c r="AG18" s="59" t="e">
        <f t="shared" si="20"/>
        <v>#VALUE!</v>
      </c>
      <c r="AH18" s="59" t="e">
        <f t="shared" si="21"/>
        <v>#VALUE!</v>
      </c>
      <c r="AI18" s="59" t="e">
        <f t="shared" si="21"/>
        <v>#VALUE!</v>
      </c>
      <c r="AK18" s="59" t="e">
        <f t="shared" si="22"/>
        <v>#VALUE!</v>
      </c>
      <c r="AL18" s="59" t="e">
        <f t="shared" si="23"/>
        <v>#VALUE!</v>
      </c>
      <c r="AN18" s="59">
        <v>562</v>
      </c>
      <c r="AO18" s="59" t="e">
        <f t="shared" si="30"/>
        <v>#VALUE!</v>
      </c>
      <c r="AP18" s="59" t="e">
        <f>IF(AO18=1,AL$28,0)</f>
        <v>#VALUE!</v>
      </c>
      <c r="AS18" s="59" t="e">
        <f t="shared" si="32"/>
        <v>#VALUE!</v>
      </c>
    </row>
    <row r="19" spans="1:45" s="59" customFormat="1" x14ac:dyDescent="0.45">
      <c r="A19" s="64">
        <f t="shared" si="31"/>
        <v>17</v>
      </c>
      <c r="B19" s="65" t="str">
        <f>RTD("rit2.rtd",,"News",,A19)</f>
        <v>NEWS|17</v>
      </c>
      <c r="F19" s="66" t="e">
        <f t="shared" si="29"/>
        <v>#VALUE!</v>
      </c>
      <c r="G19" s="59" t="e">
        <f t="shared" si="0"/>
        <v>#VALUE!</v>
      </c>
      <c r="H19" s="59" t="e">
        <f t="shared" si="1"/>
        <v>#VALUE!</v>
      </c>
      <c r="I19" s="67">
        <f t="shared" si="27"/>
        <v>0</v>
      </c>
      <c r="J19" s="68" t="e">
        <f t="shared" si="24"/>
        <v>#VALUE!</v>
      </c>
      <c r="K19" s="59">
        <f t="shared" si="2"/>
        <v>0</v>
      </c>
      <c r="L19" s="59" t="e">
        <f t="shared" si="28"/>
        <v>#VALUE!</v>
      </c>
      <c r="M19" s="59" t="e">
        <f t="shared" si="3"/>
        <v>#VALUE!</v>
      </c>
      <c r="N19" s="59" t="e">
        <f t="shared" si="4"/>
        <v>#VALUE!</v>
      </c>
      <c r="O19" s="59" t="e">
        <f t="shared" si="5"/>
        <v>#VALUE!</v>
      </c>
      <c r="P19" s="59" t="e">
        <f t="shared" si="25"/>
        <v>#VALUE!</v>
      </c>
      <c r="Q19" s="59" t="e">
        <f t="shared" si="6"/>
        <v>#VALUE!</v>
      </c>
      <c r="R19" s="69" t="e">
        <f t="shared" si="7"/>
        <v>#VALUE!</v>
      </c>
      <c r="S19" s="70" t="e">
        <f t="shared" si="8"/>
        <v>#VALUE!</v>
      </c>
      <c r="T19" s="59" t="e">
        <f t="shared" si="9"/>
        <v>#VALUE!</v>
      </c>
      <c r="U19" s="59" t="e">
        <f t="shared" si="10"/>
        <v>#VALUE!</v>
      </c>
      <c r="V19" s="59" t="e">
        <f t="shared" si="11"/>
        <v>#VALUE!</v>
      </c>
      <c r="W19" s="59" t="e">
        <f t="shared" si="12"/>
        <v>#VALUE!</v>
      </c>
      <c r="X19" s="59" t="e">
        <f t="shared" si="13"/>
        <v>#VALUE!</v>
      </c>
      <c r="Y19" s="59" t="e">
        <f t="shared" si="14"/>
        <v>#VALUE!</v>
      </c>
      <c r="AA19" s="59" t="e">
        <f t="shared" si="15"/>
        <v>#VALUE!</v>
      </c>
      <c r="AB19" s="59" t="e">
        <f t="shared" si="16"/>
        <v>#VALUE!</v>
      </c>
      <c r="AD19" s="59" t="e">
        <f t="shared" si="17"/>
        <v>#VALUE!</v>
      </c>
      <c r="AE19" s="59" t="e">
        <f t="shared" si="18"/>
        <v>#VALUE!</v>
      </c>
      <c r="AF19" s="59" t="e">
        <f t="shared" si="19"/>
        <v>#VALUE!</v>
      </c>
      <c r="AG19" s="59" t="e">
        <f t="shared" si="20"/>
        <v>#VALUE!</v>
      </c>
      <c r="AH19" s="59" t="e">
        <f t="shared" ref="AH19:AI28" si="33">IFERROR(AD19,AH18)</f>
        <v>#VALUE!</v>
      </c>
      <c r="AI19" s="59" t="e">
        <f t="shared" si="33"/>
        <v>#VALUE!</v>
      </c>
      <c r="AK19" s="59" t="e">
        <f t="shared" si="22"/>
        <v>#VALUE!</v>
      </c>
      <c r="AL19" s="59" t="e">
        <f t="shared" si="23"/>
        <v>#VALUE!</v>
      </c>
      <c r="AN19" s="59">
        <v>600</v>
      </c>
      <c r="AO19" s="59" t="e">
        <f t="shared" si="30"/>
        <v>#VALUE!</v>
      </c>
      <c r="AP19" s="59" t="e">
        <f>AVERAGE(AQ19:AR19)</f>
        <v>#VALUE!</v>
      </c>
      <c r="AQ19" s="59" t="e">
        <f>IF(AO19=1,AI$28,0)</f>
        <v>#VALUE!</v>
      </c>
      <c r="AR19" s="59" t="e">
        <f>IF(AO19=1,AH$28,0)</f>
        <v>#VALUE!</v>
      </c>
      <c r="AS19" s="59" t="e">
        <f t="shared" si="32"/>
        <v>#VALUE!</v>
      </c>
    </row>
    <row r="20" spans="1:45" x14ac:dyDescent="0.45">
      <c r="A20" s="64">
        <f t="shared" si="31"/>
        <v>18</v>
      </c>
      <c r="B20" s="65" t="str">
        <f>RTD("rit2.rtd",,"News",,A20)</f>
        <v>NEWS|18</v>
      </c>
      <c r="C20" s="59"/>
      <c r="D20" s="59"/>
      <c r="E20" s="59"/>
      <c r="F20" s="66" t="e">
        <f t="shared" si="29"/>
        <v>#VALUE!</v>
      </c>
      <c r="G20" s="59" t="e">
        <f t="shared" si="0"/>
        <v>#VALUE!</v>
      </c>
      <c r="H20" s="59" t="e">
        <f t="shared" si="1"/>
        <v>#VALUE!</v>
      </c>
      <c r="I20" s="67">
        <f t="shared" si="27"/>
        <v>0</v>
      </c>
      <c r="J20" s="68" t="e">
        <f t="shared" si="24"/>
        <v>#VALUE!</v>
      </c>
      <c r="K20" s="59">
        <f t="shared" si="2"/>
        <v>0</v>
      </c>
      <c r="L20" s="59" t="e">
        <f t="shared" si="28"/>
        <v>#VALUE!</v>
      </c>
      <c r="M20" s="59" t="e">
        <f t="shared" si="3"/>
        <v>#VALUE!</v>
      </c>
      <c r="N20" s="59" t="e">
        <f t="shared" si="4"/>
        <v>#VALUE!</v>
      </c>
      <c r="O20" s="59" t="e">
        <f t="shared" si="5"/>
        <v>#VALUE!</v>
      </c>
      <c r="P20" s="59" t="e">
        <f t="shared" si="25"/>
        <v>#VALUE!</v>
      </c>
      <c r="Q20" s="59" t="e">
        <f t="shared" si="6"/>
        <v>#VALUE!</v>
      </c>
      <c r="R20" s="69" t="e">
        <f t="shared" si="7"/>
        <v>#VALUE!</v>
      </c>
      <c r="S20" s="70" t="e">
        <f t="shared" si="8"/>
        <v>#VALUE!</v>
      </c>
      <c r="T20" s="59" t="e">
        <f t="shared" si="9"/>
        <v>#VALUE!</v>
      </c>
      <c r="U20" s="59" t="e">
        <f t="shared" si="10"/>
        <v>#VALUE!</v>
      </c>
      <c r="V20" s="59" t="e">
        <f t="shared" si="11"/>
        <v>#VALUE!</v>
      </c>
      <c r="W20" s="59" t="e">
        <f t="shared" si="12"/>
        <v>#VALUE!</v>
      </c>
      <c r="X20" s="59" t="e">
        <f t="shared" si="13"/>
        <v>#VALUE!</v>
      </c>
      <c r="Y20" s="59" t="e">
        <f t="shared" si="14"/>
        <v>#VALUE!</v>
      </c>
      <c r="Z20" s="59"/>
      <c r="AA20" s="59" t="e">
        <f t="shared" si="15"/>
        <v>#VALUE!</v>
      </c>
      <c r="AB20" s="59" t="e">
        <f t="shared" si="16"/>
        <v>#VALUE!</v>
      </c>
      <c r="AC20" s="59"/>
      <c r="AD20" s="59" t="e">
        <f t="shared" si="17"/>
        <v>#VALUE!</v>
      </c>
      <c r="AE20" s="59" t="e">
        <f t="shared" si="18"/>
        <v>#VALUE!</v>
      </c>
      <c r="AF20" s="59" t="e">
        <f t="shared" si="19"/>
        <v>#VALUE!</v>
      </c>
      <c r="AG20" s="59" t="e">
        <f t="shared" si="20"/>
        <v>#VALUE!</v>
      </c>
      <c r="AH20" s="59" t="e">
        <f t="shared" si="33"/>
        <v>#VALUE!</v>
      </c>
      <c r="AI20" s="59" t="e">
        <f t="shared" si="33"/>
        <v>#VALUE!</v>
      </c>
      <c r="AJ20" s="59"/>
      <c r="AK20" s="59" t="e">
        <f t="shared" si="22"/>
        <v>#VALUE!</v>
      </c>
      <c r="AL20" s="59" t="e">
        <f t="shared" si="23"/>
        <v>#VALUE!</v>
      </c>
    </row>
    <row r="21" spans="1:45" x14ac:dyDescent="0.45">
      <c r="A21" s="64">
        <f t="shared" si="31"/>
        <v>19</v>
      </c>
      <c r="B21" s="65" t="str">
        <f>RTD("rit2.rtd",,"News",,A21)</f>
        <v>NEWS|19</v>
      </c>
      <c r="C21" s="59"/>
      <c r="D21" s="59"/>
      <c r="E21" s="59"/>
      <c r="F21" s="66" t="e">
        <f t="shared" si="29"/>
        <v>#VALUE!</v>
      </c>
      <c r="G21" s="59" t="e">
        <f t="shared" si="0"/>
        <v>#VALUE!</v>
      </c>
      <c r="H21" s="59" t="e">
        <f t="shared" si="1"/>
        <v>#VALUE!</v>
      </c>
      <c r="I21" s="67">
        <f t="shared" si="27"/>
        <v>0</v>
      </c>
      <c r="J21" s="68" t="e">
        <f t="shared" si="24"/>
        <v>#VALUE!</v>
      </c>
      <c r="K21" s="59">
        <f t="shared" si="2"/>
        <v>0</v>
      </c>
      <c r="L21" s="59" t="e">
        <f t="shared" si="28"/>
        <v>#VALUE!</v>
      </c>
      <c r="M21" s="59" t="e">
        <f t="shared" si="3"/>
        <v>#VALUE!</v>
      </c>
      <c r="N21" s="59" t="e">
        <f t="shared" si="4"/>
        <v>#VALUE!</v>
      </c>
      <c r="O21" s="59" t="e">
        <f t="shared" si="5"/>
        <v>#VALUE!</v>
      </c>
      <c r="P21" s="59" t="e">
        <f t="shared" si="25"/>
        <v>#VALUE!</v>
      </c>
      <c r="Q21" s="59" t="e">
        <f t="shared" si="6"/>
        <v>#VALUE!</v>
      </c>
      <c r="R21" s="69" t="e">
        <f t="shared" si="7"/>
        <v>#VALUE!</v>
      </c>
      <c r="S21" s="70" t="e">
        <f t="shared" si="8"/>
        <v>#VALUE!</v>
      </c>
      <c r="T21" s="59" t="e">
        <f t="shared" si="9"/>
        <v>#VALUE!</v>
      </c>
      <c r="U21" s="59" t="e">
        <f t="shared" si="10"/>
        <v>#VALUE!</v>
      </c>
      <c r="V21" s="59" t="e">
        <f t="shared" si="11"/>
        <v>#VALUE!</v>
      </c>
      <c r="W21" s="59" t="e">
        <f t="shared" si="12"/>
        <v>#VALUE!</v>
      </c>
      <c r="X21" s="59" t="e">
        <f t="shared" si="13"/>
        <v>#VALUE!</v>
      </c>
      <c r="Y21" s="59" t="e">
        <f t="shared" si="14"/>
        <v>#VALUE!</v>
      </c>
      <c r="Z21" s="59"/>
      <c r="AA21" s="59" t="e">
        <f t="shared" si="15"/>
        <v>#VALUE!</v>
      </c>
      <c r="AB21" s="59" t="e">
        <f t="shared" si="16"/>
        <v>#VALUE!</v>
      </c>
      <c r="AC21" s="59"/>
      <c r="AD21" s="59" t="e">
        <f t="shared" si="17"/>
        <v>#VALUE!</v>
      </c>
      <c r="AE21" s="59" t="e">
        <f t="shared" si="18"/>
        <v>#VALUE!</v>
      </c>
      <c r="AF21" s="59" t="e">
        <f t="shared" si="19"/>
        <v>#VALUE!</v>
      </c>
      <c r="AG21" s="59" t="e">
        <f t="shared" si="20"/>
        <v>#VALUE!</v>
      </c>
      <c r="AH21" s="59" t="e">
        <f t="shared" si="33"/>
        <v>#VALUE!</v>
      </c>
      <c r="AI21" s="59" t="e">
        <f t="shared" si="33"/>
        <v>#VALUE!</v>
      </c>
      <c r="AJ21" s="59"/>
      <c r="AK21" s="59" t="e">
        <f t="shared" si="22"/>
        <v>#VALUE!</v>
      </c>
      <c r="AL21" s="59" t="e">
        <f t="shared" si="23"/>
        <v>#VALUE!</v>
      </c>
    </row>
    <row r="22" spans="1:45" x14ac:dyDescent="0.45">
      <c r="A22" s="64">
        <f t="shared" si="31"/>
        <v>20</v>
      </c>
      <c r="B22" s="65" t="str">
        <f>RTD("rit2.rtd",,"News",,A22)</f>
        <v>NEWS|20</v>
      </c>
      <c r="C22" s="59"/>
      <c r="D22" s="59"/>
      <c r="E22" s="59"/>
      <c r="F22" s="66" t="e">
        <f t="shared" si="29"/>
        <v>#VALUE!</v>
      </c>
      <c r="G22" s="59" t="e">
        <f t="shared" si="0"/>
        <v>#VALUE!</v>
      </c>
      <c r="H22" s="59" t="e">
        <f t="shared" si="1"/>
        <v>#VALUE!</v>
      </c>
      <c r="I22" s="67">
        <f t="shared" si="27"/>
        <v>0</v>
      </c>
      <c r="J22" s="68" t="e">
        <f t="shared" si="24"/>
        <v>#VALUE!</v>
      </c>
      <c r="K22" s="59">
        <f t="shared" si="2"/>
        <v>0</v>
      </c>
      <c r="L22" s="59" t="e">
        <f t="shared" si="28"/>
        <v>#VALUE!</v>
      </c>
      <c r="M22" s="59" t="e">
        <f t="shared" si="3"/>
        <v>#VALUE!</v>
      </c>
      <c r="N22" s="59" t="e">
        <f t="shared" si="4"/>
        <v>#VALUE!</v>
      </c>
      <c r="O22" s="59" t="e">
        <f t="shared" si="5"/>
        <v>#VALUE!</v>
      </c>
      <c r="P22" s="59" t="e">
        <f t="shared" si="25"/>
        <v>#VALUE!</v>
      </c>
      <c r="Q22" s="59" t="e">
        <f t="shared" si="6"/>
        <v>#VALUE!</v>
      </c>
      <c r="R22" s="69" t="e">
        <f t="shared" si="7"/>
        <v>#VALUE!</v>
      </c>
      <c r="S22" s="70" t="e">
        <f t="shared" si="8"/>
        <v>#VALUE!</v>
      </c>
      <c r="T22" s="59" t="e">
        <f t="shared" si="9"/>
        <v>#VALUE!</v>
      </c>
      <c r="U22" s="59" t="e">
        <f t="shared" si="10"/>
        <v>#VALUE!</v>
      </c>
      <c r="V22" s="59" t="e">
        <f t="shared" si="11"/>
        <v>#VALUE!</v>
      </c>
      <c r="W22" s="59" t="e">
        <f t="shared" si="12"/>
        <v>#VALUE!</v>
      </c>
      <c r="X22" s="59" t="e">
        <f t="shared" si="13"/>
        <v>#VALUE!</v>
      </c>
      <c r="Y22" s="59" t="e">
        <f t="shared" si="14"/>
        <v>#VALUE!</v>
      </c>
      <c r="Z22" s="59"/>
      <c r="AA22" s="59" t="e">
        <f t="shared" si="15"/>
        <v>#VALUE!</v>
      </c>
      <c r="AB22" s="59" t="e">
        <f t="shared" si="16"/>
        <v>#VALUE!</v>
      </c>
      <c r="AC22" s="59"/>
      <c r="AD22" s="59" t="e">
        <f t="shared" si="17"/>
        <v>#VALUE!</v>
      </c>
      <c r="AE22" s="59" t="e">
        <f t="shared" si="18"/>
        <v>#VALUE!</v>
      </c>
      <c r="AF22" s="59" t="e">
        <f t="shared" si="19"/>
        <v>#VALUE!</v>
      </c>
      <c r="AG22" s="59" t="e">
        <f t="shared" si="20"/>
        <v>#VALUE!</v>
      </c>
      <c r="AH22" s="59" t="e">
        <f t="shared" si="33"/>
        <v>#VALUE!</v>
      </c>
      <c r="AI22" s="59" t="e">
        <f t="shared" si="33"/>
        <v>#VALUE!</v>
      </c>
      <c r="AJ22" s="59"/>
      <c r="AK22" s="59" t="e">
        <f t="shared" si="22"/>
        <v>#VALUE!</v>
      </c>
      <c r="AL22" s="59" t="e">
        <f t="shared" si="23"/>
        <v>#VALUE!</v>
      </c>
      <c r="AO22" t="s">
        <v>63</v>
      </c>
      <c r="AP22" t="e">
        <f>MAX(AP4:AP19)/100</f>
        <v>#VALUE!</v>
      </c>
    </row>
    <row r="23" spans="1:45" x14ac:dyDescent="0.45">
      <c r="A23" s="64">
        <f t="shared" si="31"/>
        <v>21</v>
      </c>
      <c r="B23" s="65" t="str">
        <f>RTD("rit2.rtd",,"News",,A23)</f>
        <v>NEWS|21</v>
      </c>
      <c r="C23" s="59"/>
      <c r="D23" s="59"/>
      <c r="E23" s="59"/>
      <c r="F23" s="66" t="e">
        <f t="shared" si="29"/>
        <v>#VALUE!</v>
      </c>
      <c r="G23" s="59" t="e">
        <f t="shared" si="0"/>
        <v>#VALUE!</v>
      </c>
      <c r="H23" s="59" t="e">
        <f t="shared" si="1"/>
        <v>#VALUE!</v>
      </c>
      <c r="I23" s="67">
        <f t="shared" si="27"/>
        <v>0</v>
      </c>
      <c r="J23" s="68" t="e">
        <f t="shared" si="24"/>
        <v>#VALUE!</v>
      </c>
      <c r="K23" s="59">
        <f t="shared" si="2"/>
        <v>0</v>
      </c>
      <c r="L23" s="59" t="e">
        <f t="shared" si="28"/>
        <v>#VALUE!</v>
      </c>
      <c r="M23" s="59" t="e">
        <f t="shared" si="3"/>
        <v>#VALUE!</v>
      </c>
      <c r="N23" s="59" t="e">
        <f t="shared" si="4"/>
        <v>#VALUE!</v>
      </c>
      <c r="O23" s="59" t="e">
        <f t="shared" si="5"/>
        <v>#VALUE!</v>
      </c>
      <c r="P23" s="59" t="e">
        <f t="shared" si="25"/>
        <v>#VALUE!</v>
      </c>
      <c r="Q23" s="59" t="e">
        <f t="shared" si="6"/>
        <v>#VALUE!</v>
      </c>
      <c r="R23" s="69" t="e">
        <f t="shared" si="7"/>
        <v>#VALUE!</v>
      </c>
      <c r="S23" s="70" t="e">
        <f t="shared" si="8"/>
        <v>#VALUE!</v>
      </c>
      <c r="T23" s="59" t="e">
        <f t="shared" si="9"/>
        <v>#VALUE!</v>
      </c>
      <c r="U23" s="59" t="e">
        <f t="shared" si="10"/>
        <v>#VALUE!</v>
      </c>
      <c r="V23" s="59" t="e">
        <f t="shared" si="11"/>
        <v>#VALUE!</v>
      </c>
      <c r="W23" s="59" t="e">
        <f t="shared" si="12"/>
        <v>#VALUE!</v>
      </c>
      <c r="X23" s="59" t="e">
        <f t="shared" si="13"/>
        <v>#VALUE!</v>
      </c>
      <c r="Y23" s="59" t="e">
        <f t="shared" si="14"/>
        <v>#VALUE!</v>
      </c>
      <c r="Z23" s="59"/>
      <c r="AA23" s="59" t="e">
        <f t="shared" si="15"/>
        <v>#VALUE!</v>
      </c>
      <c r="AB23" s="59" t="e">
        <f t="shared" si="16"/>
        <v>#VALUE!</v>
      </c>
      <c r="AC23" s="59"/>
      <c r="AD23" s="59" t="e">
        <f t="shared" si="17"/>
        <v>#VALUE!</v>
      </c>
      <c r="AE23" s="59" t="e">
        <f t="shared" si="18"/>
        <v>#VALUE!</v>
      </c>
      <c r="AF23" s="59" t="e">
        <f t="shared" si="19"/>
        <v>#VALUE!</v>
      </c>
      <c r="AG23" s="59" t="e">
        <f t="shared" si="20"/>
        <v>#VALUE!</v>
      </c>
      <c r="AH23" s="59" t="e">
        <f t="shared" si="33"/>
        <v>#VALUE!</v>
      </c>
      <c r="AI23" s="59" t="e">
        <f t="shared" si="33"/>
        <v>#VALUE!</v>
      </c>
      <c r="AJ23" s="59"/>
      <c r="AK23" s="59" t="e">
        <f t="shared" si="22"/>
        <v>#VALUE!</v>
      </c>
      <c r="AL23" s="59" t="e">
        <f t="shared" si="23"/>
        <v>#VALUE!</v>
      </c>
      <c r="AO23" s="72" t="s">
        <v>64</v>
      </c>
      <c r="AP23" t="e">
        <f>IF(MAX(AO5,AO7,AO9,AO11,AO13,AO15,AO17,AO19)=0,0,(AVERAGE(MAX($AQ$4:$AQ$19),MAX($AR$4:$AR$19))-AL28)/100)</f>
        <v>#VALUE!</v>
      </c>
    </row>
    <row r="24" spans="1:45" x14ac:dyDescent="0.45">
      <c r="A24" s="64">
        <f t="shared" si="31"/>
        <v>22</v>
      </c>
      <c r="B24" s="65" t="str">
        <f>RTD("rit2.rtd",,"News",,A24)</f>
        <v>NEWS|22</v>
      </c>
      <c r="C24" s="59"/>
      <c r="D24" s="59"/>
      <c r="E24" s="59"/>
      <c r="F24" s="66" t="e">
        <f t="shared" si="29"/>
        <v>#VALUE!</v>
      </c>
      <c r="G24" s="59" t="e">
        <f t="shared" si="0"/>
        <v>#VALUE!</v>
      </c>
      <c r="H24" s="59" t="e">
        <f t="shared" si="1"/>
        <v>#VALUE!</v>
      </c>
      <c r="I24" s="67">
        <f t="shared" si="27"/>
        <v>0</v>
      </c>
      <c r="J24" s="68" t="e">
        <f t="shared" si="24"/>
        <v>#VALUE!</v>
      </c>
      <c r="K24" s="59">
        <f t="shared" si="2"/>
        <v>0</v>
      </c>
      <c r="L24" s="59" t="e">
        <f t="shared" si="28"/>
        <v>#VALUE!</v>
      </c>
      <c r="M24" s="59" t="e">
        <f t="shared" si="3"/>
        <v>#VALUE!</v>
      </c>
      <c r="N24" s="59" t="e">
        <f t="shared" si="4"/>
        <v>#VALUE!</v>
      </c>
      <c r="O24" s="59" t="e">
        <f t="shared" si="5"/>
        <v>#VALUE!</v>
      </c>
      <c r="P24" s="59" t="e">
        <f t="shared" si="25"/>
        <v>#VALUE!</v>
      </c>
      <c r="Q24" s="59" t="e">
        <f t="shared" si="6"/>
        <v>#VALUE!</v>
      </c>
      <c r="R24" s="69" t="e">
        <f t="shared" si="7"/>
        <v>#VALUE!</v>
      </c>
      <c r="S24" s="70" t="e">
        <f t="shared" si="8"/>
        <v>#VALUE!</v>
      </c>
      <c r="T24" s="59" t="e">
        <f t="shared" si="9"/>
        <v>#VALUE!</v>
      </c>
      <c r="U24" s="59" t="e">
        <f t="shared" si="10"/>
        <v>#VALUE!</v>
      </c>
      <c r="V24" s="59" t="e">
        <f t="shared" si="11"/>
        <v>#VALUE!</v>
      </c>
      <c r="W24" s="59" t="e">
        <f t="shared" si="12"/>
        <v>#VALUE!</v>
      </c>
      <c r="X24" s="59" t="e">
        <f t="shared" si="13"/>
        <v>#VALUE!</v>
      </c>
      <c r="Y24" s="59" t="e">
        <f t="shared" si="14"/>
        <v>#VALUE!</v>
      </c>
      <c r="Z24" s="59"/>
      <c r="AA24" s="59" t="e">
        <f t="shared" si="15"/>
        <v>#VALUE!</v>
      </c>
      <c r="AB24" s="59" t="e">
        <f t="shared" si="16"/>
        <v>#VALUE!</v>
      </c>
      <c r="AC24" s="59"/>
      <c r="AD24" s="59" t="e">
        <f t="shared" si="17"/>
        <v>#VALUE!</v>
      </c>
      <c r="AE24" s="59" t="e">
        <f t="shared" si="18"/>
        <v>#VALUE!</v>
      </c>
      <c r="AF24" s="59" t="e">
        <f t="shared" si="19"/>
        <v>#VALUE!</v>
      </c>
      <c r="AG24" s="59" t="e">
        <f t="shared" si="20"/>
        <v>#VALUE!</v>
      </c>
      <c r="AH24" s="59" t="e">
        <f t="shared" si="33"/>
        <v>#VALUE!</v>
      </c>
      <c r="AI24" s="59" t="e">
        <f t="shared" si="33"/>
        <v>#VALUE!</v>
      </c>
      <c r="AJ24" s="59"/>
      <c r="AK24" s="59" t="e">
        <f t="shared" si="22"/>
        <v>#VALUE!</v>
      </c>
      <c r="AL24" s="59" t="e">
        <f t="shared" si="23"/>
        <v>#VALUE!</v>
      </c>
    </row>
    <row r="25" spans="1:45" x14ac:dyDescent="0.45">
      <c r="A25" s="64">
        <f t="shared" si="31"/>
        <v>23</v>
      </c>
      <c r="B25" s="65" t="str">
        <f>RTD("rit2.rtd",,"News",,A25)</f>
        <v>NEWS|23</v>
      </c>
      <c r="C25" s="59"/>
      <c r="D25" s="59"/>
      <c r="E25" s="59"/>
      <c r="F25" s="66" t="e">
        <f t="shared" si="29"/>
        <v>#VALUE!</v>
      </c>
      <c r="G25" s="59" t="e">
        <f t="shared" si="0"/>
        <v>#VALUE!</v>
      </c>
      <c r="H25" s="59" t="e">
        <f t="shared" si="1"/>
        <v>#VALUE!</v>
      </c>
      <c r="I25" s="67">
        <f t="shared" si="27"/>
        <v>0</v>
      </c>
      <c r="J25" s="68" t="e">
        <f t="shared" si="24"/>
        <v>#VALUE!</v>
      </c>
      <c r="K25" s="59">
        <f t="shared" si="2"/>
        <v>0</v>
      </c>
      <c r="L25" s="59" t="e">
        <f t="shared" si="28"/>
        <v>#VALUE!</v>
      </c>
      <c r="M25" s="59" t="e">
        <f t="shared" si="3"/>
        <v>#VALUE!</v>
      </c>
      <c r="N25" s="59" t="e">
        <f t="shared" si="4"/>
        <v>#VALUE!</v>
      </c>
      <c r="O25" s="59" t="e">
        <f t="shared" si="5"/>
        <v>#VALUE!</v>
      </c>
      <c r="P25" s="59" t="e">
        <f t="shared" si="25"/>
        <v>#VALUE!</v>
      </c>
      <c r="Q25" s="59" t="e">
        <f t="shared" si="6"/>
        <v>#VALUE!</v>
      </c>
      <c r="R25" s="69" t="e">
        <f t="shared" si="7"/>
        <v>#VALUE!</v>
      </c>
      <c r="S25" s="70" t="e">
        <f t="shared" si="8"/>
        <v>#VALUE!</v>
      </c>
      <c r="T25" s="59" t="e">
        <f t="shared" si="9"/>
        <v>#VALUE!</v>
      </c>
      <c r="U25" s="59" t="e">
        <f t="shared" si="10"/>
        <v>#VALUE!</v>
      </c>
      <c r="V25" s="59" t="e">
        <f t="shared" si="11"/>
        <v>#VALUE!</v>
      </c>
      <c r="W25" s="59" t="e">
        <f t="shared" si="12"/>
        <v>#VALUE!</v>
      </c>
      <c r="X25" s="59" t="e">
        <f t="shared" si="13"/>
        <v>#VALUE!</v>
      </c>
      <c r="Y25" s="59" t="e">
        <f t="shared" si="14"/>
        <v>#VALUE!</v>
      </c>
      <c r="Z25" s="59"/>
      <c r="AA25" s="59" t="e">
        <f t="shared" si="15"/>
        <v>#VALUE!</v>
      </c>
      <c r="AB25" s="59" t="e">
        <f t="shared" si="16"/>
        <v>#VALUE!</v>
      </c>
      <c r="AC25" s="59"/>
      <c r="AD25" s="59" t="e">
        <f t="shared" si="17"/>
        <v>#VALUE!</v>
      </c>
      <c r="AE25" s="59" t="e">
        <f t="shared" si="18"/>
        <v>#VALUE!</v>
      </c>
      <c r="AF25" s="59" t="e">
        <f t="shared" si="19"/>
        <v>#VALUE!</v>
      </c>
      <c r="AG25" s="59" t="e">
        <f t="shared" si="20"/>
        <v>#VALUE!</v>
      </c>
      <c r="AH25" s="59" t="e">
        <f t="shared" si="33"/>
        <v>#VALUE!</v>
      </c>
      <c r="AI25" s="59" t="e">
        <f t="shared" si="33"/>
        <v>#VALUE!</v>
      </c>
      <c r="AJ25" s="59"/>
      <c r="AK25" s="59" t="e">
        <f t="shared" si="22"/>
        <v>#VALUE!</v>
      </c>
      <c r="AL25" s="59" t="e">
        <f t="shared" si="23"/>
        <v>#VALUE!</v>
      </c>
    </row>
    <row r="26" spans="1:45" x14ac:dyDescent="0.45">
      <c r="A26" s="64">
        <f t="shared" si="31"/>
        <v>24</v>
      </c>
      <c r="B26" s="65" t="str">
        <f>RTD("rit2.rtd",,"News",,A26)</f>
        <v>NEWS|24</v>
      </c>
      <c r="C26" s="59"/>
      <c r="D26" s="59"/>
      <c r="E26" s="59"/>
      <c r="F26" s="66" t="e">
        <f t="shared" si="29"/>
        <v>#VALUE!</v>
      </c>
      <c r="G26" s="59" t="e">
        <f t="shared" si="0"/>
        <v>#VALUE!</v>
      </c>
      <c r="H26" s="59" t="e">
        <f t="shared" si="1"/>
        <v>#VALUE!</v>
      </c>
      <c r="I26" s="67">
        <f t="shared" si="27"/>
        <v>0</v>
      </c>
      <c r="J26" s="68" t="e">
        <f t="shared" si="24"/>
        <v>#VALUE!</v>
      </c>
      <c r="K26" s="59">
        <f t="shared" si="2"/>
        <v>0</v>
      </c>
      <c r="L26" s="59" t="e">
        <f t="shared" si="28"/>
        <v>#VALUE!</v>
      </c>
      <c r="M26" s="59" t="e">
        <f t="shared" si="3"/>
        <v>#VALUE!</v>
      </c>
      <c r="N26" s="59" t="e">
        <f t="shared" si="4"/>
        <v>#VALUE!</v>
      </c>
      <c r="O26" s="59" t="e">
        <f t="shared" si="5"/>
        <v>#VALUE!</v>
      </c>
      <c r="P26" s="59" t="e">
        <f t="shared" si="25"/>
        <v>#VALUE!</v>
      </c>
      <c r="Q26" s="59" t="e">
        <f t="shared" si="6"/>
        <v>#VALUE!</v>
      </c>
      <c r="R26" s="69" t="e">
        <f t="shared" si="7"/>
        <v>#VALUE!</v>
      </c>
      <c r="S26" s="70" t="e">
        <f t="shared" si="8"/>
        <v>#VALUE!</v>
      </c>
      <c r="T26" s="59" t="e">
        <f t="shared" si="9"/>
        <v>#VALUE!</v>
      </c>
      <c r="U26" s="59" t="e">
        <f t="shared" si="10"/>
        <v>#VALUE!</v>
      </c>
      <c r="V26" s="59" t="e">
        <f t="shared" si="11"/>
        <v>#VALUE!</v>
      </c>
      <c r="W26" s="59" t="e">
        <f t="shared" si="12"/>
        <v>#VALUE!</v>
      </c>
      <c r="X26" s="59" t="e">
        <f t="shared" si="13"/>
        <v>#VALUE!</v>
      </c>
      <c r="Y26" s="59" t="e">
        <f t="shared" si="14"/>
        <v>#VALUE!</v>
      </c>
      <c r="Z26" s="59"/>
      <c r="AA26" s="59" t="e">
        <f t="shared" si="15"/>
        <v>#VALUE!</v>
      </c>
      <c r="AB26" s="59" t="e">
        <f t="shared" si="16"/>
        <v>#VALUE!</v>
      </c>
      <c r="AC26" s="59"/>
      <c r="AD26" s="59" t="e">
        <f t="shared" si="17"/>
        <v>#VALUE!</v>
      </c>
      <c r="AE26" s="59" t="e">
        <f t="shared" si="18"/>
        <v>#VALUE!</v>
      </c>
      <c r="AF26" s="59" t="e">
        <f t="shared" si="19"/>
        <v>#VALUE!</v>
      </c>
      <c r="AG26" s="59" t="e">
        <f t="shared" si="20"/>
        <v>#VALUE!</v>
      </c>
      <c r="AH26" s="59" t="e">
        <f t="shared" si="33"/>
        <v>#VALUE!</v>
      </c>
      <c r="AI26" s="59" t="e">
        <f t="shared" si="33"/>
        <v>#VALUE!</v>
      </c>
      <c r="AJ26" s="59"/>
      <c r="AK26" s="59" t="e">
        <f t="shared" si="22"/>
        <v>#VALUE!</v>
      </c>
      <c r="AL26" s="59" t="e">
        <f t="shared" si="23"/>
        <v>#VALUE!</v>
      </c>
    </row>
    <row r="27" spans="1:45" x14ac:dyDescent="0.45">
      <c r="A27" s="64">
        <f t="shared" si="31"/>
        <v>25</v>
      </c>
      <c r="B27" s="65" t="str">
        <f>RTD("rit2.rtd",,"News",,A27)</f>
        <v>NEWS|25</v>
      </c>
      <c r="C27" s="59"/>
      <c r="D27" s="59"/>
      <c r="E27" s="59"/>
      <c r="F27" s="66" t="e">
        <f t="shared" si="29"/>
        <v>#VALUE!</v>
      </c>
      <c r="G27" s="59" t="e">
        <f t="shared" si="0"/>
        <v>#VALUE!</v>
      </c>
      <c r="H27" s="59" t="e">
        <f t="shared" si="1"/>
        <v>#VALUE!</v>
      </c>
      <c r="I27" s="67">
        <f t="shared" si="27"/>
        <v>0</v>
      </c>
      <c r="J27" s="68" t="e">
        <f t="shared" si="24"/>
        <v>#VALUE!</v>
      </c>
      <c r="K27" s="59">
        <f t="shared" si="2"/>
        <v>0</v>
      </c>
      <c r="L27" s="59" t="e">
        <f t="shared" si="28"/>
        <v>#VALUE!</v>
      </c>
      <c r="M27" s="59" t="e">
        <f t="shared" si="3"/>
        <v>#VALUE!</v>
      </c>
      <c r="N27" s="59" t="e">
        <f t="shared" si="4"/>
        <v>#VALUE!</v>
      </c>
      <c r="O27" s="59" t="e">
        <f t="shared" si="5"/>
        <v>#VALUE!</v>
      </c>
      <c r="P27" s="59" t="e">
        <f t="shared" si="25"/>
        <v>#VALUE!</v>
      </c>
      <c r="Q27" s="59" t="e">
        <f t="shared" si="6"/>
        <v>#VALUE!</v>
      </c>
      <c r="R27" s="69" t="e">
        <f t="shared" si="7"/>
        <v>#VALUE!</v>
      </c>
      <c r="S27" s="70" t="e">
        <f t="shared" si="8"/>
        <v>#VALUE!</v>
      </c>
      <c r="T27" s="59" t="e">
        <f t="shared" si="9"/>
        <v>#VALUE!</v>
      </c>
      <c r="U27" s="59" t="e">
        <f t="shared" si="10"/>
        <v>#VALUE!</v>
      </c>
      <c r="V27" s="59" t="e">
        <f t="shared" si="11"/>
        <v>#VALUE!</v>
      </c>
      <c r="W27" s="59" t="e">
        <f t="shared" si="12"/>
        <v>#VALUE!</v>
      </c>
      <c r="X27" s="59" t="e">
        <f t="shared" si="13"/>
        <v>#VALUE!</v>
      </c>
      <c r="Y27" s="59" t="e">
        <f t="shared" si="14"/>
        <v>#VALUE!</v>
      </c>
      <c r="Z27" s="59"/>
      <c r="AA27" s="59" t="e">
        <f t="shared" si="15"/>
        <v>#VALUE!</v>
      </c>
      <c r="AB27" s="59" t="e">
        <f t="shared" si="16"/>
        <v>#VALUE!</v>
      </c>
      <c r="AC27" s="59"/>
      <c r="AD27" s="59" t="e">
        <f t="shared" si="17"/>
        <v>#VALUE!</v>
      </c>
      <c r="AE27" s="59" t="e">
        <f t="shared" si="18"/>
        <v>#VALUE!</v>
      </c>
      <c r="AF27" s="59" t="e">
        <f t="shared" si="19"/>
        <v>#VALUE!</v>
      </c>
      <c r="AG27" s="59" t="e">
        <f t="shared" si="20"/>
        <v>#VALUE!</v>
      </c>
      <c r="AH27" s="59" t="e">
        <f t="shared" si="33"/>
        <v>#VALUE!</v>
      </c>
      <c r="AI27" s="59" t="e">
        <f t="shared" si="33"/>
        <v>#VALUE!</v>
      </c>
      <c r="AJ27" s="59"/>
      <c r="AK27" s="59" t="e">
        <f t="shared" si="22"/>
        <v>#VALUE!</v>
      </c>
      <c r="AL27" s="59" t="e">
        <f t="shared" si="23"/>
        <v>#VALUE!</v>
      </c>
    </row>
    <row r="28" spans="1:45" x14ac:dyDescent="0.45">
      <c r="A28" s="64">
        <f t="shared" si="31"/>
        <v>26</v>
      </c>
      <c r="B28" s="65" t="str">
        <f>RTD("rit2.rtd",,"News",,A28)</f>
        <v>NEWS|26</v>
      </c>
      <c r="C28" s="59"/>
      <c r="D28" s="59"/>
      <c r="E28" s="59"/>
      <c r="F28" s="66" t="e">
        <f t="shared" si="29"/>
        <v>#VALUE!</v>
      </c>
      <c r="G28" s="59" t="e">
        <f t="shared" si="0"/>
        <v>#VALUE!</v>
      </c>
      <c r="H28" s="59" t="e">
        <f t="shared" si="1"/>
        <v>#VALUE!</v>
      </c>
      <c r="I28" s="67">
        <f t="shared" si="27"/>
        <v>0</v>
      </c>
      <c r="J28" s="68" t="e">
        <f t="shared" si="24"/>
        <v>#VALUE!</v>
      </c>
      <c r="K28" s="59">
        <f t="shared" si="2"/>
        <v>0</v>
      </c>
      <c r="L28" s="59" t="e">
        <f t="shared" si="28"/>
        <v>#VALUE!</v>
      </c>
      <c r="M28" s="59" t="e">
        <f t="shared" si="3"/>
        <v>#VALUE!</v>
      </c>
      <c r="N28" s="59" t="e">
        <f t="shared" si="4"/>
        <v>#VALUE!</v>
      </c>
      <c r="O28" s="59" t="e">
        <f t="shared" si="5"/>
        <v>#VALUE!</v>
      </c>
      <c r="P28" s="59" t="e">
        <f t="shared" si="25"/>
        <v>#VALUE!</v>
      </c>
      <c r="Q28" s="59" t="e">
        <f t="shared" si="6"/>
        <v>#VALUE!</v>
      </c>
      <c r="R28" s="69" t="e">
        <f t="shared" si="7"/>
        <v>#VALUE!</v>
      </c>
      <c r="S28" s="70" t="e">
        <f t="shared" si="8"/>
        <v>#VALUE!</v>
      </c>
      <c r="T28" s="59" t="e">
        <f t="shared" si="9"/>
        <v>#VALUE!</v>
      </c>
      <c r="U28" s="59" t="e">
        <f t="shared" si="10"/>
        <v>#VALUE!</v>
      </c>
      <c r="V28" s="59" t="e">
        <f t="shared" si="11"/>
        <v>#VALUE!</v>
      </c>
      <c r="W28" s="59" t="e">
        <f t="shared" si="12"/>
        <v>#VALUE!</v>
      </c>
      <c r="X28" s="59" t="e">
        <f t="shared" si="13"/>
        <v>#VALUE!</v>
      </c>
      <c r="Y28" s="59" t="e">
        <f t="shared" si="14"/>
        <v>#VALUE!</v>
      </c>
      <c r="Z28" s="59"/>
      <c r="AA28" s="59" t="e">
        <f t="shared" si="15"/>
        <v>#VALUE!</v>
      </c>
      <c r="AB28" s="59" t="e">
        <f t="shared" si="16"/>
        <v>#VALUE!</v>
      </c>
      <c r="AC28" s="59"/>
      <c r="AD28" s="59" t="e">
        <f t="shared" si="17"/>
        <v>#VALUE!</v>
      </c>
      <c r="AE28" s="59" t="e">
        <f t="shared" si="18"/>
        <v>#VALUE!</v>
      </c>
      <c r="AF28" s="59" t="e">
        <f t="shared" si="19"/>
        <v>#VALUE!</v>
      </c>
      <c r="AG28" s="59" t="e">
        <f t="shared" si="20"/>
        <v>#VALUE!</v>
      </c>
      <c r="AH28" s="59" t="e">
        <f t="shared" si="33"/>
        <v>#VALUE!</v>
      </c>
      <c r="AI28" s="59" t="e">
        <f t="shared" si="33"/>
        <v>#VALUE!</v>
      </c>
      <c r="AJ28" s="59"/>
      <c r="AK28" s="59" t="e">
        <f t="shared" si="22"/>
        <v>#VALUE!</v>
      </c>
      <c r="AL28" s="59" t="e">
        <f t="shared" si="23"/>
        <v>#VALUE!</v>
      </c>
    </row>
    <row r="29" spans="1:45" x14ac:dyDescent="0.45">
      <c r="A29" s="59"/>
      <c r="B29" s="59"/>
      <c r="C29" s="59"/>
      <c r="D29" s="59"/>
      <c r="E29" s="59"/>
      <c r="F29" s="59"/>
      <c r="G29" s="59"/>
      <c r="H29" s="59"/>
      <c r="I29" s="59" t="s">
        <v>65</v>
      </c>
      <c r="J29" s="59"/>
      <c r="K29" s="59"/>
      <c r="L29" s="59"/>
      <c r="M29" s="59"/>
      <c r="N29" s="59"/>
      <c r="O29" s="59" t="s">
        <v>66</v>
      </c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 t="s">
        <v>67</v>
      </c>
      <c r="AC29" s="59"/>
      <c r="AD29" s="59"/>
      <c r="AE29" s="59"/>
      <c r="AF29" s="59"/>
      <c r="AG29" s="59" t="s">
        <v>68</v>
      </c>
      <c r="AH29" s="59" t="s">
        <v>69</v>
      </c>
      <c r="AI29" s="59" t="s">
        <v>70</v>
      </c>
      <c r="AL29" s="59" t="s">
        <v>62</v>
      </c>
    </row>
    <row r="32" spans="1:45" x14ac:dyDescent="0.45">
      <c r="B32" t="s">
        <v>71</v>
      </c>
    </row>
    <row r="33" spans="2:2" x14ac:dyDescent="0.45">
      <c r="B33" t="str">
        <f>B4</f>
        <v>NEWS|2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News</vt:lpstr>
    </vt:vector>
  </TitlesOfParts>
  <Manager/>
  <Company>University of Calgary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Willie Li</dc:creator>
  <cp:keywords/>
  <dc:description/>
  <cp:lastModifiedBy>MOH'D ELSHAYIB</cp:lastModifiedBy>
  <cp:revision/>
  <dcterms:created xsi:type="dcterms:W3CDTF">2022-02-11T19:37:39Z</dcterms:created>
  <dcterms:modified xsi:type="dcterms:W3CDTF">2026-02-15T18:18:57Z</dcterms:modified>
  <cp:category/>
  <cp:contentStatus/>
</cp:coreProperties>
</file>